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urizio.beretti\Desktop\tirocinio\PROF\"/>
    </mc:Choice>
  </mc:AlternateContent>
  <xr:revisionPtr revIDLastSave="0" documentId="8_{365E11E0-95EC-4071-83B5-62C6BB830CFA}" xr6:coauthVersionLast="47" xr6:coauthVersionMax="47" xr10:uidLastSave="{00000000-0000-0000-0000-000000000000}"/>
  <bookViews>
    <workbookView xWindow="3348" yWindow="3348" windowWidth="17280" windowHeight="8880" xr2:uid="{50890F35-F057-4F25-BCB6-701D8493ED39}"/>
  </bookViews>
  <sheets>
    <sheet name="SENSITIV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1" l="1"/>
  <c r="V5" i="1"/>
  <c r="W5" i="1"/>
  <c r="X5" i="1" s="1"/>
  <c r="S5" i="1" s="1"/>
  <c r="U6" i="1"/>
  <c r="V6" i="1"/>
  <c r="W6" i="1"/>
  <c r="X6" i="1" s="1"/>
  <c r="S6" i="1" s="1"/>
  <c r="U7" i="1"/>
  <c r="V7" i="1" s="1"/>
  <c r="X7" i="1" s="1"/>
  <c r="S7" i="1" s="1"/>
  <c r="W7" i="1"/>
  <c r="U8" i="1"/>
  <c r="V8" i="1" s="1"/>
  <c r="X8" i="1" s="1"/>
  <c r="S8" i="1" s="1"/>
  <c r="W8" i="1"/>
  <c r="U9" i="1"/>
  <c r="V9" i="1"/>
  <c r="X9" i="1" s="1"/>
  <c r="S9" i="1" s="1"/>
  <c r="W9" i="1"/>
  <c r="U10" i="1"/>
  <c r="V10" i="1" s="1"/>
  <c r="X10" i="1" s="1"/>
  <c r="S10" i="1" s="1"/>
  <c r="W10" i="1"/>
  <c r="U11" i="1"/>
  <c r="V11" i="1" s="1"/>
  <c r="X11" i="1" s="1"/>
  <c r="S11" i="1" s="1"/>
  <c r="W11" i="1"/>
  <c r="U12" i="1"/>
  <c r="V12" i="1" s="1"/>
  <c r="X12" i="1" s="1"/>
  <c r="S12" i="1" s="1"/>
  <c r="W12" i="1"/>
  <c r="U13" i="1"/>
  <c r="V13" i="1"/>
  <c r="W13" i="1"/>
  <c r="X13" i="1"/>
  <c r="S13" i="1" s="1"/>
  <c r="I12" i="1" s="1"/>
  <c r="N12" i="1" s="1"/>
  <c r="U14" i="1"/>
  <c r="V14" i="1"/>
  <c r="W14" i="1"/>
  <c r="X14" i="1" s="1"/>
  <c r="S14" i="1" s="1"/>
  <c r="U15" i="1"/>
  <c r="V15" i="1" s="1"/>
  <c r="X15" i="1" s="1"/>
  <c r="S15" i="1" s="1"/>
  <c r="W15" i="1"/>
  <c r="U16" i="1"/>
  <c r="V16" i="1" s="1"/>
  <c r="X16" i="1" s="1"/>
  <c r="S16" i="1" s="1"/>
  <c r="W16" i="1"/>
  <c r="U17" i="1"/>
  <c r="V17" i="1"/>
  <c r="X17" i="1" s="1"/>
  <c r="S17" i="1" s="1"/>
  <c r="W17" i="1"/>
  <c r="S18" i="1"/>
  <c r="F17" i="1" s="1"/>
  <c r="U18" i="1"/>
  <c r="V18" i="1"/>
  <c r="W18" i="1"/>
  <c r="X18" i="1"/>
  <c r="S19" i="1"/>
  <c r="I18" i="1" s="1"/>
  <c r="N18" i="1" s="1"/>
  <c r="U19" i="1"/>
  <c r="V19" i="1" s="1"/>
  <c r="X19" i="1" s="1"/>
  <c r="W19" i="1"/>
  <c r="U20" i="1"/>
  <c r="V20" i="1" s="1"/>
  <c r="X20" i="1" s="1"/>
  <c r="S20" i="1" s="1"/>
  <c r="W20" i="1"/>
  <c r="U21" i="1"/>
  <c r="V21" i="1"/>
  <c r="W21" i="1"/>
  <c r="X21" i="1"/>
  <c r="S21" i="1" s="1"/>
  <c r="U22" i="1"/>
  <c r="V22" i="1"/>
  <c r="X22" i="1" s="1"/>
  <c r="S22" i="1" s="1"/>
  <c r="W22" i="1"/>
  <c r="S23" i="1"/>
  <c r="I22" i="1" s="1"/>
  <c r="N22" i="1" s="1"/>
  <c r="U23" i="1"/>
  <c r="V23" i="1" s="1"/>
  <c r="W23" i="1"/>
  <c r="X23" i="1"/>
  <c r="U24" i="1"/>
  <c r="V24" i="1" s="1"/>
  <c r="X24" i="1" s="1"/>
  <c r="S24" i="1" s="1"/>
  <c r="W24" i="1"/>
  <c r="U25" i="1"/>
  <c r="V25" i="1"/>
  <c r="W25" i="1"/>
  <c r="X25" i="1"/>
  <c r="S25" i="1" s="1"/>
  <c r="H24" i="1" s="1"/>
  <c r="M24" i="1" s="1"/>
  <c r="U26" i="1"/>
  <c r="V26" i="1" s="1"/>
  <c r="X26" i="1" s="1"/>
  <c r="S26" i="1" s="1"/>
  <c r="W26" i="1"/>
  <c r="H27" i="1"/>
  <c r="M27" i="1" s="1"/>
  <c r="U27" i="1"/>
  <c r="V27" i="1" s="1"/>
  <c r="X27" i="1" s="1"/>
  <c r="S27" i="1" s="1"/>
  <c r="W27" i="1"/>
  <c r="U28" i="1"/>
  <c r="V28" i="1" s="1"/>
  <c r="W28" i="1"/>
  <c r="X28" i="1"/>
  <c r="S28" i="1" s="1"/>
  <c r="U29" i="1"/>
  <c r="V29" i="1" s="1"/>
  <c r="X29" i="1" s="1"/>
  <c r="S29" i="1" s="1"/>
  <c r="W29" i="1"/>
  <c r="G30" i="1"/>
  <c r="U30" i="1"/>
  <c r="V30" i="1"/>
  <c r="X30" i="1" s="1"/>
  <c r="S30" i="1" s="1"/>
  <c r="W30" i="1"/>
  <c r="S31" i="1"/>
  <c r="I30" i="1" s="1"/>
  <c r="N30" i="1" s="1"/>
  <c r="U31" i="1"/>
  <c r="V31" i="1" s="1"/>
  <c r="W31" i="1"/>
  <c r="X31" i="1"/>
  <c r="U32" i="1"/>
  <c r="V32" i="1" s="1"/>
  <c r="X32" i="1" s="1"/>
  <c r="S32" i="1" s="1"/>
  <c r="W32" i="1"/>
  <c r="U33" i="1"/>
  <c r="V33" i="1"/>
  <c r="W33" i="1"/>
  <c r="X33" i="1"/>
  <c r="S33" i="1" s="1"/>
  <c r="H32" i="1" s="1"/>
  <c r="M32" i="1" s="1"/>
  <c r="U34" i="1"/>
  <c r="V34" i="1"/>
  <c r="X34" i="1" s="1"/>
  <c r="S34" i="1" s="1"/>
  <c r="W34" i="1"/>
  <c r="F28" i="1" l="1"/>
  <c r="G28" i="1"/>
  <c r="I28" i="1"/>
  <c r="N28" i="1" s="1"/>
  <c r="H28" i="1"/>
  <c r="M28" i="1" s="1"/>
  <c r="F16" i="1"/>
  <c r="G16" i="1"/>
  <c r="H16" i="1"/>
  <c r="M16" i="1" s="1"/>
  <c r="I16" i="1"/>
  <c r="N16" i="1" s="1"/>
  <c r="O16" i="1" s="1"/>
  <c r="F8" i="1"/>
  <c r="G8" i="1"/>
  <c r="H8" i="1"/>
  <c r="M8" i="1" s="1"/>
  <c r="I8" i="1"/>
  <c r="N8" i="1" s="1"/>
  <c r="F31" i="1"/>
  <c r="G31" i="1"/>
  <c r="I31" i="1"/>
  <c r="N31" i="1" s="1"/>
  <c r="H31" i="1"/>
  <c r="M31" i="1" s="1"/>
  <c r="F23" i="1"/>
  <c r="G23" i="1"/>
  <c r="I23" i="1"/>
  <c r="N23" i="1" s="1"/>
  <c r="H23" i="1"/>
  <c r="M23" i="1" s="1"/>
  <c r="I6" i="1"/>
  <c r="N6" i="1" s="1"/>
  <c r="O6" i="1" s="1"/>
  <c r="F6" i="1"/>
  <c r="G6" i="1"/>
  <c r="H6" i="1"/>
  <c r="M6" i="1" s="1"/>
  <c r="F5" i="1"/>
  <c r="G5" i="1"/>
  <c r="H5" i="1"/>
  <c r="M5" i="1" s="1"/>
  <c r="I5" i="1"/>
  <c r="N5" i="1" s="1"/>
  <c r="O5" i="1" s="1"/>
  <c r="I26" i="1"/>
  <c r="N26" i="1" s="1"/>
  <c r="F26" i="1"/>
  <c r="G26" i="1"/>
  <c r="H26" i="1"/>
  <c r="M26" i="1" s="1"/>
  <c r="I10" i="1"/>
  <c r="N10" i="1" s="1"/>
  <c r="O10" i="1" s="1"/>
  <c r="F10" i="1"/>
  <c r="G10" i="1"/>
  <c r="H10" i="1"/>
  <c r="M10" i="1" s="1"/>
  <c r="O22" i="1"/>
  <c r="I14" i="1"/>
  <c r="N14" i="1" s="1"/>
  <c r="F14" i="1"/>
  <c r="G14" i="1"/>
  <c r="H14" i="1"/>
  <c r="M14" i="1" s="1"/>
  <c r="F4" i="1"/>
  <c r="G4" i="1"/>
  <c r="H4" i="1"/>
  <c r="M4" i="1" s="1"/>
  <c r="I4" i="1"/>
  <c r="N4" i="1" s="1"/>
  <c r="O4" i="1" s="1"/>
  <c r="F33" i="1"/>
  <c r="G33" i="1"/>
  <c r="H33" i="1"/>
  <c r="M33" i="1" s="1"/>
  <c r="I33" i="1"/>
  <c r="N33" i="1" s="1"/>
  <c r="O33" i="1" s="1"/>
  <c r="F13" i="1"/>
  <c r="G13" i="1"/>
  <c r="H13" i="1"/>
  <c r="M13" i="1" s="1"/>
  <c r="I13" i="1"/>
  <c r="N13" i="1" s="1"/>
  <c r="F9" i="1"/>
  <c r="G9" i="1"/>
  <c r="H9" i="1"/>
  <c r="M9" i="1" s="1"/>
  <c r="I9" i="1"/>
  <c r="N9" i="1" s="1"/>
  <c r="O9" i="1" s="1"/>
  <c r="G29" i="1"/>
  <c r="I29" i="1"/>
  <c r="N29" i="1" s="1"/>
  <c r="H29" i="1"/>
  <c r="M29" i="1" s="1"/>
  <c r="F29" i="1"/>
  <c r="F25" i="1"/>
  <c r="G25" i="1"/>
  <c r="H25" i="1"/>
  <c r="M25" i="1" s="1"/>
  <c r="I25" i="1"/>
  <c r="N25" i="1" s="1"/>
  <c r="G21" i="1"/>
  <c r="F21" i="1"/>
  <c r="H21" i="1"/>
  <c r="M21" i="1" s="1"/>
  <c r="I21" i="1"/>
  <c r="N21" i="1" s="1"/>
  <c r="O21" i="1" s="1"/>
  <c r="F20" i="1"/>
  <c r="G20" i="1"/>
  <c r="H20" i="1"/>
  <c r="M20" i="1" s="1"/>
  <c r="F30" i="1"/>
  <c r="F27" i="1"/>
  <c r="G27" i="1"/>
  <c r="I27" i="1"/>
  <c r="N27" i="1" s="1"/>
  <c r="O27" i="1" s="1"/>
  <c r="I32" i="1"/>
  <c r="N32" i="1" s="1"/>
  <c r="O32" i="1" s="1"/>
  <c r="I24" i="1"/>
  <c r="N24" i="1" s="1"/>
  <c r="O24" i="1" s="1"/>
  <c r="I17" i="1"/>
  <c r="N17" i="1" s="1"/>
  <c r="O17" i="1" s="1"/>
  <c r="J30" i="1"/>
  <c r="L30" i="1"/>
  <c r="I20" i="1"/>
  <c r="N20" i="1" s="1"/>
  <c r="H17" i="1"/>
  <c r="M17" i="1" s="1"/>
  <c r="F7" i="1"/>
  <c r="G7" i="1"/>
  <c r="H7" i="1"/>
  <c r="M7" i="1" s="1"/>
  <c r="I7" i="1"/>
  <c r="N7" i="1" s="1"/>
  <c r="O7" i="1" s="1"/>
  <c r="G17" i="1"/>
  <c r="H18" i="1"/>
  <c r="M18" i="1" s="1"/>
  <c r="O18" i="1" s="1"/>
  <c r="F11" i="1"/>
  <c r="G11" i="1"/>
  <c r="H11" i="1"/>
  <c r="M11" i="1" s="1"/>
  <c r="I11" i="1"/>
  <c r="N11" i="1" s="1"/>
  <c r="O11" i="1" s="1"/>
  <c r="H22" i="1"/>
  <c r="M22" i="1" s="1"/>
  <c r="F18" i="1"/>
  <c r="G22" i="1"/>
  <c r="F32" i="1"/>
  <c r="G32" i="1"/>
  <c r="F24" i="1"/>
  <c r="G24" i="1"/>
  <c r="G18" i="1"/>
  <c r="F12" i="1"/>
  <c r="G12" i="1"/>
  <c r="H12" i="1"/>
  <c r="M12" i="1" s="1"/>
  <c r="O12" i="1" s="1"/>
  <c r="F15" i="1"/>
  <c r="G15" i="1"/>
  <c r="H15" i="1"/>
  <c r="M15" i="1" s="1"/>
  <c r="I15" i="1"/>
  <c r="N15" i="1" s="1"/>
  <c r="O15" i="1" s="1"/>
  <c r="K30" i="1"/>
  <c r="H30" i="1"/>
  <c r="M30" i="1" s="1"/>
  <c r="O30" i="1" s="1"/>
  <c r="F22" i="1"/>
  <c r="F19" i="1"/>
  <c r="G19" i="1"/>
  <c r="H19" i="1"/>
  <c r="M19" i="1" s="1"/>
  <c r="I19" i="1"/>
  <c r="N19" i="1" s="1"/>
  <c r="O19" i="1" s="1"/>
  <c r="J6" i="1" l="1"/>
  <c r="K6" i="1"/>
  <c r="L6" i="1"/>
  <c r="J11" i="1"/>
  <c r="K11" i="1"/>
  <c r="L11" i="1"/>
  <c r="L9" i="1"/>
  <c r="J9" i="1"/>
  <c r="K9" i="1"/>
  <c r="L21" i="1"/>
  <c r="J21" i="1"/>
  <c r="K21" i="1"/>
  <c r="J19" i="1"/>
  <c r="K19" i="1"/>
  <c r="L19" i="1"/>
  <c r="J18" i="1"/>
  <c r="K18" i="1"/>
  <c r="L18" i="1"/>
  <c r="O25" i="1"/>
  <c r="O13" i="1"/>
  <c r="J26" i="1"/>
  <c r="L26" i="1"/>
  <c r="K26" i="1"/>
  <c r="O23" i="1"/>
  <c r="J14" i="1"/>
  <c r="K14" i="1"/>
  <c r="L14" i="1"/>
  <c r="J10" i="1"/>
  <c r="K10" i="1"/>
  <c r="L10" i="1"/>
  <c r="K8" i="1"/>
  <c r="L8" i="1"/>
  <c r="J8" i="1"/>
  <c r="K12" i="1"/>
  <c r="L12" i="1"/>
  <c r="J12" i="1"/>
  <c r="J4" i="1"/>
  <c r="K4" i="1"/>
  <c r="L4" i="1"/>
  <c r="J24" i="1"/>
  <c r="K24" i="1"/>
  <c r="L24" i="1"/>
  <c r="L17" i="1"/>
  <c r="J17" i="1"/>
  <c r="K17" i="1"/>
  <c r="J23" i="1"/>
  <c r="L23" i="1"/>
  <c r="K23" i="1"/>
  <c r="J16" i="1"/>
  <c r="K16" i="1"/>
  <c r="L16" i="1"/>
  <c r="J27" i="1"/>
  <c r="K27" i="1"/>
  <c r="L27" i="1"/>
  <c r="L25" i="1"/>
  <c r="J25" i="1"/>
  <c r="K25" i="1"/>
  <c r="L13" i="1"/>
  <c r="J13" i="1"/>
  <c r="K13" i="1"/>
  <c r="O26" i="1"/>
  <c r="J32" i="1"/>
  <c r="K32" i="1"/>
  <c r="L32" i="1"/>
  <c r="O14" i="1"/>
  <c r="J7" i="1"/>
  <c r="K7" i="1"/>
  <c r="L7" i="1"/>
  <c r="O31" i="1"/>
  <c r="O28" i="1"/>
  <c r="J22" i="1"/>
  <c r="K22" i="1"/>
  <c r="L22" i="1"/>
  <c r="L5" i="1"/>
  <c r="J5" i="1"/>
  <c r="K5" i="1"/>
  <c r="J31" i="1"/>
  <c r="K31" i="1"/>
  <c r="L31" i="1"/>
  <c r="J28" i="1"/>
  <c r="K28" i="1"/>
  <c r="L28" i="1"/>
  <c r="J20" i="1"/>
  <c r="K20" i="1"/>
  <c r="L20" i="1"/>
  <c r="O29" i="1"/>
  <c r="L33" i="1"/>
  <c r="J33" i="1"/>
  <c r="K33" i="1"/>
  <c r="J15" i="1"/>
  <c r="K15" i="1"/>
  <c r="L15" i="1"/>
  <c r="O20" i="1"/>
  <c r="L29" i="1"/>
  <c r="J29" i="1"/>
  <c r="K29" i="1"/>
  <c r="O8" i="1"/>
  <c r="L38" i="1" l="1"/>
  <c r="K38" i="1"/>
  <c r="J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tc={469240B5-6C48-4BF8-82C8-9D12BCDEE4DE}</author>
    <author>tc={50F78613-F5B9-4AC0-ADC1-38D83FD48EBA}</author>
    <author>tc={01A67AB8-3916-43E8-A104-393D1049EC4B}</author>
    <author>tc={6EDE4E04-72DA-4C51-9F37-6F2C62239CD2}</author>
    <author>tc={3B707426-4DBD-497F-B6CE-0843FB84D7D3}</author>
  </authors>
  <commentList>
    <comment ref="J34" authorId="0" shapeId="0" xr:uid="{469240B5-6C48-4BF8-82C8-9D12BCDEE4DE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L'analisi dimostra che per missioni a basso carico medio (70 kW), come l'utilizzo urbano o gli spostamenti a vuoto, il motore H2 retrofittato è assolutamente adeguato. La riserva di potenza è tale da assorbire totalmente il de-rating ambientale senza mai rischiare lo stallo, rendendo superfluo un controllo attivo del carico. </t>
      </text>
    </comment>
    <comment ref="K34" authorId="1" shapeId="0" xr:uid="{50F78613-F5B9-4AC0-ADC1-38D83FD48EBA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Per missioni a medio carico (149 kW), il sistema entra in crisi solo nelle combinazioni ambientali più severe. Questo scenario rappresenta il caso di studio ideale per implementare strategie di de-rating 'soft', limitando la coppia massima solo nei transitori più gravosi. </t>
      </text>
    </comment>
    <comment ref="L34" authorId="2" shapeId="0" xr:uid="{01A67AB8-3916-43E8-A104-393D1049EC4B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Per cicli pesanti dove è richiesta una potenza media alta e costante (come ambito minerario o ferroviario) l’applicazione immediata di tecnologie PFI a idrogeno sembrerebbe soffrire anche in condizioni ambientali ideali, il che chiaramente non si pone bene con i possibili ambiti di applicazione. </t>
      </text>
    </comment>
    <comment ref="N34" authorId="3" shapeId="0" xr:uid="{6EDE4E04-72DA-4C51-9F37-6F2C62239CD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Notiamo che, sebbene l’idrogeno PFI abbia costantemente problemi con la quantità e la qualità dell’aria che ‘respira’, ciò che è in grado di bruciare lo brucia in maniera più efficiente rispetto ad un motore diesel tradizionale, e questo è vero  per ognuna delle 30 run che abbiamo osservato. Ciò giustifica completamente la ricerca e lo sviluppo di questa tecnologia e fa ben sperare per tecnologie più strutturate, ad iniezione diretta (ad esempio) e più complete anche di sistemi elettronici di regolazione del flusso d’aria.</t>
      </text>
    </comment>
    <comment ref="S35" authorId="4" shapeId="0" xr:uid="{3B707426-4DBD-497F-B6CE-0843FB84D7D3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La centralina taglierebbe la potenza al valore nominale, nei casi in cui le condizioni fossero tanto favorevoli da avere un valore di alpha &gt; 1, per non mandare in difficoltà il motore. Tuttavia, ai fini dell’esperimento va bene anche mantenere i valori &gt; 1, per mantenere una rappresentazione di quelle situazioni particolarmente favorevoli.
</t>
      </text>
    </comment>
  </commentList>
</comments>
</file>

<file path=xl/sharedStrings.xml><?xml version="1.0" encoding="utf-8"?>
<sst xmlns="http://schemas.openxmlformats.org/spreadsheetml/2006/main" count="44" uniqueCount="35">
  <si>
    <t>commento</t>
  </si>
  <si>
    <t>Pdry</t>
  </si>
  <si>
    <t>Pamb</t>
  </si>
  <si>
    <t>Pvap</t>
  </si>
  <si>
    <t>Psat</t>
  </si>
  <si>
    <t>fattore alpha ISO 3046-1</t>
  </si>
  <si>
    <t>%</t>
  </si>
  <si>
    <t>g/kWh</t>
  </si>
  <si>
    <t>kW</t>
  </si>
  <si>
    <t>kPa</t>
  </si>
  <si>
    <t>°C</t>
  </si>
  <si>
    <t>m.s.l.m</t>
  </si>
  <si>
    <t>colonna di appoggio (non riportata)</t>
  </si>
  <si>
    <t>eta H2</t>
  </si>
  <si>
    <t>eta diesel</t>
  </si>
  <si>
    <t>sat. Ciclo C</t>
  </si>
  <si>
    <t>sat. Ciclo B</t>
  </si>
  <si>
    <t>sat. Ciclo A</t>
  </si>
  <si>
    <t>BSFC h2</t>
  </si>
  <si>
    <t>BSFC diesel</t>
  </si>
  <si>
    <t>potenza H2</t>
  </si>
  <si>
    <t>potenza diesel (BASELINE)</t>
  </si>
  <si>
    <t>D:umidità relativa</t>
  </si>
  <si>
    <t>C:polverosità</t>
  </si>
  <si>
    <t>B:temperatura</t>
  </si>
  <si>
    <t>A:altitudine</t>
  </si>
  <si>
    <t>Run</t>
  </si>
  <si>
    <t>Response 4</t>
  </si>
  <si>
    <t>Response 3</t>
  </si>
  <si>
    <t>Response 2</t>
  </si>
  <si>
    <t>Response 1</t>
  </si>
  <si>
    <t>Factor 4</t>
  </si>
  <si>
    <t>Factor 3</t>
  </si>
  <si>
    <t>Factor 2</t>
  </si>
  <si>
    <t>Factor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</si>
</sst>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0" fontId="3" fillId="0" borderId="0" xfId="0" applyFont="1"/>
    <xf numFmtId="0" fontId="0" fillId="0" borderId="0" xfId="0" applyAlignment="1">
      <alignment horizontal="right"/>
    </xf>
    <xf numFmtId="2" fontId="0" fillId="0" borderId="1" xfId="0" applyNumberFormat="1" applyBorder="1"/>
    <xf numFmtId="0" fontId="2" fillId="2" borderId="0" xfId="0" applyFont="1" applyFill="1"/>
    <xf numFmtId="10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1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2">
    <cellStyle name="Normale" xfId="0" builtinId="0"/>
    <cellStyle name="Percentuale" xfId="1" builtinId="5"/>
  </cellStyles>
  <dxfs count="8">
    <dxf>
      <font>
        <color theme="4" tint="-0.499984740745262"/>
      </font>
      <fill>
        <patternFill>
          <bgColor theme="3" tint="0.499984740745262"/>
        </patternFill>
      </fill>
    </dxf>
    <dxf>
      <font>
        <color theme="0"/>
      </font>
      <fill>
        <patternFill>
          <bgColor theme="2" tint="-0.749961851863155"/>
        </patternFill>
      </fill>
    </dxf>
    <dxf>
      <font>
        <color theme="0"/>
      </font>
      <fill>
        <patternFill>
          <bgColor theme="1" tint="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CCO BERETTI" id="{2AD1BA69-2B86-4120-951E-7C368AF72491}" userId="S::319848@unimore.it::acecd732-d977-4522-95b4-14a2e52da08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4" dT="2026-02-16T17:18:58.52" personId="{2AD1BA69-2B86-4120-951E-7C368AF72491}" id="{469240B5-6C48-4BF8-82C8-9D12BCDEE4DE}">
    <text xml:space="preserve">L'analisi dimostra che per missioni a basso carico medio (70 kW), come l'utilizzo urbano o gli spostamenti a vuoto, il motore H2 retrofittato è assolutamente adeguato. La riserva di potenza è tale da assorbire totalmente il de-rating ambientale senza mai rischiare lo stallo, rendendo superfluo un controllo attivo del carico. </text>
  </threadedComment>
  <threadedComment ref="K34" dT="2026-02-16T17:19:22.85" personId="{2AD1BA69-2B86-4120-951E-7C368AF72491}" id="{50F78613-F5B9-4AC0-ADC1-38D83FD48EBA}">
    <text xml:space="preserve">Per missioni a medio carico (149 kW), il sistema entra in crisi solo nelle combinazioni ambientali più severe. Questo scenario rappresenta il caso di studio ideale per implementare strategie di de-rating 'soft', limitando la coppia massima solo nei transitori più gravosi. </text>
  </threadedComment>
  <threadedComment ref="L34" dT="2026-02-16T17:21:29.20" personId="{2AD1BA69-2B86-4120-951E-7C368AF72491}" id="{01A67AB8-3916-43E8-A104-393D1049EC4B}">
    <text xml:space="preserve">Per cicli pesanti dove è richiesta una potenza media alta e costante (come ambito minerario o ferroviario) l’applicazione immediata di tecnologie PFI a idrogeno sembrerebbe soffrire anche in condizioni ambientali ideali, il che chiaramente non si pone bene con i possibili ambiti di applicazione. </text>
  </threadedComment>
  <threadedComment ref="N34" dT="2026-02-16T17:46:43.73" personId="{2AD1BA69-2B86-4120-951E-7C368AF72491}" id="{6EDE4E04-72DA-4C51-9F37-6F2C62239CD2}">
    <text>Notiamo che, sebbene l’idrogeno PFI abbia costantemente problemi con la quantità e la qualità dell’aria che ‘respira’, ciò che è in grado di bruciare lo brucia in maniera più efficiente rispetto ad un motore diesel tradizionale, e questo è vero  per ognuna delle 30 run che abbiamo osservato. Ciò giustifica completamente la ricerca e lo sviluppo di questa tecnologia e fa ben sperare per tecnologie più strutturate, ad iniezione diretta (ad esempio) e più complete anche di sistemi elettronici di regolazione del flusso d’aria.</text>
  </threadedComment>
  <threadedComment ref="S35" dT="2026-02-09T17:55:20.43" personId="{2AD1BA69-2B86-4120-951E-7C368AF72491}" id="{3B707426-4DBD-497F-B6CE-0843FB84D7D3}">
    <text xml:space="preserve">La centralina taglierebbe la potenza al valore nominale, nei casi in cui le condizioni fossero tanto favorevoli da avere un valore di alpha &gt; 1, per non mandare in difficoltà il motore. Tuttavia, ai fini dell’esperimento va bene anche mantenere i valori &gt; 1, per mantenere una rappresentazione di quelle situazioni particolarmente favorevoli.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54A0-BEE5-49FD-9CA7-D70D61A734EE}">
  <dimension ref="A1:AF66"/>
  <sheetViews>
    <sheetView tabSelected="1" topLeftCell="A14" zoomScale="79" zoomScaleNormal="70" workbookViewId="0">
      <selection activeCell="F39" sqref="F39"/>
    </sheetView>
  </sheetViews>
  <sheetFormatPr defaultRowHeight="14.4" x14ac:dyDescent="0.3"/>
  <cols>
    <col min="2" max="2" width="13.44140625" customWidth="1"/>
    <col min="3" max="3" width="13.5546875" customWidth="1"/>
    <col min="4" max="4" width="12.5546875" customWidth="1"/>
    <col min="5" max="5" width="14.77734375" customWidth="1"/>
    <col min="6" max="6" width="21.44140625" customWidth="1"/>
    <col min="7" max="7" width="13.5546875" customWidth="1"/>
    <col min="8" max="8" width="12.44140625" customWidth="1"/>
    <col min="9" max="9" width="10.5546875" bestFit="1" customWidth="1"/>
    <col min="10" max="10" width="11.33203125" customWidth="1"/>
    <col min="11" max="11" width="10.33203125" customWidth="1"/>
    <col min="12" max="12" width="11" customWidth="1"/>
    <col min="14" max="14" width="10.21875" customWidth="1"/>
    <col min="19" max="19" width="21.21875" customWidth="1"/>
    <col min="21" max="22" width="9.77734375" bestFit="1" customWidth="1"/>
    <col min="23" max="23" width="11.77734375" bestFit="1" customWidth="1"/>
    <col min="24" max="24" width="10.77734375" bestFit="1" customWidth="1"/>
  </cols>
  <sheetData>
    <row r="1" spans="1:32" ht="15" thickBot="1" x14ac:dyDescent="0.35">
      <c r="A1" s="16"/>
      <c r="B1" s="15" t="s">
        <v>34</v>
      </c>
      <c r="C1" s="14" t="s">
        <v>33</v>
      </c>
      <c r="D1" s="14" t="s">
        <v>32</v>
      </c>
      <c r="E1" s="14" t="s">
        <v>31</v>
      </c>
      <c r="F1" s="14" t="s">
        <v>30</v>
      </c>
      <c r="G1" s="14" t="s">
        <v>29</v>
      </c>
      <c r="H1" s="14" t="s">
        <v>28</v>
      </c>
      <c r="I1" s="14" t="s">
        <v>27</v>
      </c>
    </row>
    <row r="2" spans="1:32" x14ac:dyDescent="0.3">
      <c r="A2" s="10" t="s">
        <v>26</v>
      </c>
      <c r="B2" s="13" t="s">
        <v>25</v>
      </c>
      <c r="C2" s="12" t="s">
        <v>24</v>
      </c>
      <c r="D2" s="12" t="s">
        <v>23</v>
      </c>
      <c r="E2" s="12" t="s">
        <v>22</v>
      </c>
      <c r="F2" s="12" t="s">
        <v>21</v>
      </c>
      <c r="G2" s="12" t="s">
        <v>20</v>
      </c>
      <c r="H2" s="12" t="s">
        <v>19</v>
      </c>
      <c r="I2" s="12" t="s">
        <v>18</v>
      </c>
      <c r="J2" s="11" t="s">
        <v>17</v>
      </c>
      <c r="K2" s="11" t="s">
        <v>16</v>
      </c>
      <c r="L2" s="11" t="s">
        <v>15</v>
      </c>
      <c r="M2" s="11" t="s">
        <v>14</v>
      </c>
      <c r="N2" s="11" t="s">
        <v>13</v>
      </c>
      <c r="S2" s="7" t="s">
        <v>12</v>
      </c>
      <c r="T2" s="7"/>
      <c r="U2" s="7"/>
      <c r="V2" s="7"/>
      <c r="W2" s="7"/>
      <c r="X2" s="7"/>
    </row>
    <row r="3" spans="1:32" x14ac:dyDescent="0.3">
      <c r="A3" s="10"/>
      <c r="B3" s="9" t="s">
        <v>11</v>
      </c>
      <c r="C3" s="7" t="s">
        <v>10</v>
      </c>
      <c r="D3" s="7" t="s">
        <v>9</v>
      </c>
      <c r="E3" s="7" t="s">
        <v>6</v>
      </c>
      <c r="F3" s="7" t="s">
        <v>8</v>
      </c>
      <c r="G3" s="7" t="s">
        <v>8</v>
      </c>
      <c r="H3" s="7" t="s">
        <v>7</v>
      </c>
      <c r="I3" s="7" t="s">
        <v>7</v>
      </c>
      <c r="J3" s="7" t="s">
        <v>6</v>
      </c>
      <c r="K3" s="7" t="s">
        <v>6</v>
      </c>
      <c r="L3" s="7" t="s">
        <v>6</v>
      </c>
      <c r="M3" s="7"/>
      <c r="N3" s="7"/>
      <c r="S3" s="11" t="s">
        <v>5</v>
      </c>
      <c r="T3" s="11"/>
      <c r="U3" s="7"/>
      <c r="V3" s="7"/>
      <c r="W3" s="7"/>
      <c r="X3" s="7"/>
    </row>
    <row r="4" spans="1:32" x14ac:dyDescent="0.3">
      <c r="A4" s="10">
        <v>1</v>
      </c>
      <c r="B4" s="9">
        <v>2000</v>
      </c>
      <c r="C4" s="7">
        <v>-10</v>
      </c>
      <c r="D4" s="7">
        <v>4</v>
      </c>
      <c r="E4" s="7">
        <v>60</v>
      </c>
      <c r="F4" s="4">
        <f xml:space="preserve"> MIN(320, 320 * S5)</f>
        <v>306.77538571457586</v>
      </c>
      <c r="G4" s="4">
        <f xml:space="preserve"> MIN(277, 277 * S5 * (1 - B4/10000))</f>
        <v>212.44195460734377</v>
      </c>
      <c r="H4" s="4">
        <f>227.33*(1+(1-S5)*0.5)</f>
        <v>232.0274243211023</v>
      </c>
      <c r="I4" s="4">
        <f>79.71*(1+(1-S5)*0.5)</f>
        <v>81.35708438232993</v>
      </c>
      <c r="J4" s="4">
        <f>(73.42 / G4) * 100</f>
        <v>34.56002847257836</v>
      </c>
      <c r="K4" s="4">
        <f>(155.53 / G4) * 100</f>
        <v>73.210586057479048</v>
      </c>
      <c r="L4" s="4">
        <f>(269.84 / G4) * 100</f>
        <v>127.01822504822316</v>
      </c>
      <c r="M4" s="4">
        <f>((3600)/(H4*42.23))*100</f>
        <v>36.74024941910227</v>
      </c>
      <c r="N4" s="4">
        <f>((3600)/(I4*120))*100</f>
        <v>36.874477776290306</v>
      </c>
      <c r="O4" s="6">
        <f>N4/M4</f>
        <v>1.003653441642621</v>
      </c>
      <c r="S4" s="7"/>
      <c r="T4" s="7"/>
      <c r="U4" s="11" t="s">
        <v>4</v>
      </c>
      <c r="V4" s="11" t="s">
        <v>3</v>
      </c>
      <c r="W4" s="11" t="s">
        <v>2</v>
      </c>
      <c r="X4" s="11" t="s">
        <v>1</v>
      </c>
    </row>
    <row r="5" spans="1:32" x14ac:dyDescent="0.3">
      <c r="A5" s="10">
        <v>2</v>
      </c>
      <c r="B5" s="9">
        <v>2000</v>
      </c>
      <c r="C5" s="7">
        <v>20</v>
      </c>
      <c r="D5" s="7">
        <v>2</v>
      </c>
      <c r="E5" s="7">
        <v>60</v>
      </c>
      <c r="F5" s="4">
        <f xml:space="preserve"> MIN(320, 320 * S6)</f>
        <v>271.41865044815091</v>
      </c>
      <c r="G5" s="4">
        <f xml:space="preserve"> MIN(277, 277 * S6 * (1 - B5/10000))</f>
        <v>187.9574154353445</v>
      </c>
      <c r="H5" s="4">
        <f>227.33*(1+(1-S6)*0.5)</f>
        <v>244.58624717753415</v>
      </c>
      <c r="I5" s="4">
        <f>79.71*(1+(1-S6)*0.5)</f>
        <v>85.760655269965454</v>
      </c>
      <c r="J5" s="4">
        <f>(73.42 / G5) * 100</f>
        <v>39.062039574201194</v>
      </c>
      <c r="K5" s="4">
        <f>(155.53 / G5) * 100</f>
        <v>82.747466834316413</v>
      </c>
      <c r="L5" s="4">
        <f>(269.84 / G5) * 100</f>
        <v>143.56443419643759</v>
      </c>
      <c r="M5" s="4">
        <f>((3600)/(H5*42.23))*100</f>
        <v>34.853739897490819</v>
      </c>
      <c r="N5" s="4">
        <f>((3600)/(I5*120))*100</f>
        <v>34.981076002233394</v>
      </c>
      <c r="O5" s="6">
        <f>N5/M5</f>
        <v>1.003653441642621</v>
      </c>
      <c r="S5" s="4">
        <f>(X5/99)^0.7*(298/(C4+273.15))^1.2</f>
        <v>0.95867308035804955</v>
      </c>
      <c r="T5" s="4"/>
      <c r="U5" s="4">
        <f>0.61121*EXP((17.27*C4)/(C4+237.3))</f>
        <v>0.28590276589740332</v>
      </c>
      <c r="V5" s="4">
        <f>(E4/100)*U5</f>
        <v>0.171541659538442</v>
      </c>
      <c r="W5" s="4">
        <f>101.3*(1-0.00002255*B4)^5.2559</f>
        <v>79.482247119261984</v>
      </c>
      <c r="X5" s="4">
        <f>W5-V5-D4</f>
        <v>75.310705459723536</v>
      </c>
    </row>
    <row r="6" spans="1:32" x14ac:dyDescent="0.3">
      <c r="A6" s="10">
        <v>3</v>
      </c>
      <c r="B6" s="9">
        <v>2000</v>
      </c>
      <c r="C6" s="7">
        <v>30</v>
      </c>
      <c r="D6" s="7">
        <v>6</v>
      </c>
      <c r="E6" s="7">
        <v>90</v>
      </c>
      <c r="F6" s="4">
        <f xml:space="preserve"> MIN(320, 320 * S7)</f>
        <v>245.11406858488704</v>
      </c>
      <c r="G6" s="4">
        <f xml:space="preserve"> MIN(277, 277 * S7 * (1 - B6/10000))</f>
        <v>169.74149249503429</v>
      </c>
      <c r="H6" s="4">
        <f>227.33*(1+(1-S7)*0.5)</f>
        <v>253.92971685718382</v>
      </c>
      <c r="I6" s="4">
        <f>79.71*(1+(1-S7)*0.5)</f>
        <v>89.036808739216653</v>
      </c>
      <c r="J6" s="4">
        <f>(73.42 / G6) * 100</f>
        <v>43.254008740466254</v>
      </c>
      <c r="K6" s="4">
        <f>(155.53 / G6) * 100</f>
        <v>91.627567139808178</v>
      </c>
      <c r="L6" s="4">
        <f>(269.84 / G6) * 100</f>
        <v>158.9711484408528</v>
      </c>
      <c r="M6" s="4">
        <f>((3600)/(H6*42.23))*100</f>
        <v>33.57127927813071</v>
      </c>
      <c r="N6" s="4">
        <f>((3600)/(I6*120))*100</f>
        <v>33.6939299878415</v>
      </c>
      <c r="O6" s="6">
        <f>N6/M6</f>
        <v>1.0036534416426213</v>
      </c>
      <c r="S6" s="4">
        <f>(X6/99)^0.7*(298/(C5+273.15))^1.2</f>
        <v>0.8481832826504716</v>
      </c>
      <c r="T6" s="4"/>
      <c r="U6" s="4">
        <f>0.61121*EXP((17.27*C5)/(C5+237.3))</f>
        <v>2.3398508441446699</v>
      </c>
      <c r="V6" s="4">
        <f>(E5/100)*U6</f>
        <v>1.4039105064868018</v>
      </c>
      <c r="W6" s="4">
        <f>101.3*(1-0.00002255*B5)^5.2559</f>
        <v>79.482247119261984</v>
      </c>
      <c r="X6" s="4">
        <f>W6-V6-D5</f>
        <v>76.078336612775189</v>
      </c>
    </row>
    <row r="7" spans="1:32" x14ac:dyDescent="0.3">
      <c r="A7" s="10">
        <v>4</v>
      </c>
      <c r="B7" s="9">
        <v>4000</v>
      </c>
      <c r="C7" s="7">
        <v>-10</v>
      </c>
      <c r="D7" s="7">
        <v>2</v>
      </c>
      <c r="E7" s="7">
        <v>30</v>
      </c>
      <c r="F7" s="4">
        <f xml:space="preserve"> MIN(320, 320 * S8)</f>
        <v>260.2785851272094</v>
      </c>
      <c r="G7" s="4">
        <f xml:space="preserve"> MIN(277, 277 * S8 * (1 - B7/10000))</f>
        <v>135.18219015044437</v>
      </c>
      <c r="H7" s="4">
        <f>227.33*(1+(1-S8)*0.5)</f>
        <v>248.54323319223673</v>
      </c>
      <c r="I7" s="4">
        <f>79.71*(1+(1-S8)*0.5)</f>
        <v>87.148115592984581</v>
      </c>
      <c r="J7" s="4">
        <f>(73.42 / G7) * 100</f>
        <v>54.311888214187697</v>
      </c>
      <c r="K7" s="4">
        <f>(155.53 / G7) * 100</f>
        <v>115.05213802713992</v>
      </c>
      <c r="L7" s="4">
        <f>(269.84 / G7) * 100</f>
        <v>199.61209364909297</v>
      </c>
      <c r="M7" s="4">
        <f>((3600)/(H7*42.23))*100</f>
        <v>34.298843433149017</v>
      </c>
      <c r="N7" s="4">
        <f>((3600)/(I7*120))*100</f>
        <v>34.424152256041438</v>
      </c>
      <c r="O7" s="6">
        <f>N7/M7</f>
        <v>1.0036534416426215</v>
      </c>
      <c r="S7" s="4">
        <f>(X7/99)^0.7*(298/(C6+273.15))^1.2</f>
        <v>0.76598146432777203</v>
      </c>
      <c r="T7" s="4"/>
      <c r="U7" s="4">
        <f>0.61121*EXP((17.27*C6)/(C6+237.3))</f>
        <v>4.2459132196530724</v>
      </c>
      <c r="V7" s="4">
        <f>(E6/100)*U7</f>
        <v>3.8213218976877652</v>
      </c>
      <c r="W7" s="4">
        <f>101.3*(1-0.00002255*B6)^5.2559</f>
        <v>79.482247119261984</v>
      </c>
      <c r="X7" s="4">
        <f>W7-V7-D6</f>
        <v>69.660925221574217</v>
      </c>
      <c r="AD7" s="1"/>
      <c r="AE7" s="1"/>
      <c r="AF7" s="1"/>
    </row>
    <row r="8" spans="1:32" x14ac:dyDescent="0.3">
      <c r="A8" s="10">
        <v>5</v>
      </c>
      <c r="B8" s="9">
        <v>4000</v>
      </c>
      <c r="C8" s="7">
        <v>-10</v>
      </c>
      <c r="D8" s="7">
        <v>4</v>
      </c>
      <c r="E8" s="7">
        <v>90</v>
      </c>
      <c r="F8" s="4">
        <f xml:space="preserve"> MIN(320, 320 * S9)</f>
        <v>253.59776908742737</v>
      </c>
      <c r="G8" s="4">
        <f xml:space="preserve"> MIN(277, 277 * S9 * (1 - B8/10000))</f>
        <v>131.71234131978258</v>
      </c>
      <c r="H8" s="4">
        <f>227.33*(1+(1-S9)*0.5)</f>
        <v>250.91627992711744</v>
      </c>
      <c r="I8" s="4">
        <f>79.71*(1+(1-S9)*0.5)</f>
        <v>87.980190353189315</v>
      </c>
      <c r="J8" s="4">
        <f>(73.42 / G8) * 100</f>
        <v>55.742688395269347</v>
      </c>
      <c r="K8" s="4">
        <f>(155.53 / G8) * 100</f>
        <v>118.08308807022938</v>
      </c>
      <c r="L8" s="4">
        <f>(269.84 / G8) * 100</f>
        <v>204.87070330399729</v>
      </c>
      <c r="M8" s="4">
        <f>((3600)/(H8*42.23))*100</f>
        <v>33.97446129882573</v>
      </c>
      <c r="N8" s="4">
        <f>((3600)/(I8*120))*100</f>
        <v>34.09858501052048</v>
      </c>
      <c r="O8" s="6">
        <f>N8/M8</f>
        <v>1.003653441642621</v>
      </c>
      <c r="S8" s="4">
        <f>(X8/99)^0.7*(298/(C7+273.15))^1.2</f>
        <v>0.81337057852252936</v>
      </c>
      <c r="T8" s="4"/>
      <c r="U8" s="4">
        <f>0.61121*EXP((17.27*C7)/(C7+237.3))</f>
        <v>0.28590276589740332</v>
      </c>
      <c r="V8" s="4">
        <f>(E7/100)*U8</f>
        <v>8.5770829769220999E-2</v>
      </c>
      <c r="W8" s="4">
        <f>101.3*(1-0.00002255*B7)^5.2559</f>
        <v>61.635847499633954</v>
      </c>
      <c r="X8" s="4">
        <f>W8-V8-D7</f>
        <v>59.55007666986473</v>
      </c>
      <c r="AD8" s="1"/>
      <c r="AE8" s="1"/>
      <c r="AF8" s="1"/>
    </row>
    <row r="9" spans="1:32" x14ac:dyDescent="0.3">
      <c r="A9" s="10">
        <v>6</v>
      </c>
      <c r="B9" s="9">
        <v>3000</v>
      </c>
      <c r="C9" s="7">
        <v>10</v>
      </c>
      <c r="D9" s="7">
        <v>2</v>
      </c>
      <c r="E9" s="7">
        <v>90</v>
      </c>
      <c r="F9" s="4">
        <f xml:space="preserve"> MIN(320, 320 * S10)</f>
        <v>258.86401177512465</v>
      </c>
      <c r="G9" s="4">
        <f xml:space="preserve"> MIN(277, 277 * S10 * (1 - B9/10000))</f>
        <v>156.85541213498956</v>
      </c>
      <c r="H9" s="4">
        <f>227.33*(1+(1-S10)*0.5)</f>
        <v>249.04569406743892</v>
      </c>
      <c r="I9" s="4">
        <f>79.71*(1+(1-S10)*0.5)</f>
        <v>87.324296283445008</v>
      </c>
      <c r="J9" s="4">
        <f>(73.42 / G9) * 100</f>
        <v>46.807438137241228</v>
      </c>
      <c r="K9" s="4">
        <f>(155.53 / G9) * 100</f>
        <v>99.155010262668583</v>
      </c>
      <c r="L9" s="4">
        <f>(269.84 / G9) * 100</f>
        <v>172.03104204512627</v>
      </c>
      <c r="M9" s="4">
        <f>((3600)/(H9*42.23))*100</f>
        <v>34.229643975778856</v>
      </c>
      <c r="N9" s="4">
        <f>((3600)/(I9*120))*100</f>
        <v>34.354699982492058</v>
      </c>
      <c r="O9" s="6">
        <f>N9/M9</f>
        <v>1.003653441642621</v>
      </c>
      <c r="S9" s="4">
        <f>(X9/99)^0.7*(298/(C8+273.15))^1.2</f>
        <v>0.79249302839821056</v>
      </c>
      <c r="T9" s="4"/>
      <c r="U9" s="4">
        <f>0.61121*EXP((17.27*C8)/(C8+237.3))</f>
        <v>0.28590276589740332</v>
      </c>
      <c r="V9" s="4">
        <f>(E8/100)*U9</f>
        <v>0.25731248930766298</v>
      </c>
      <c r="W9" s="4">
        <f>101.3*(1-0.00002255*B8)^5.2559</f>
        <v>61.635847499633954</v>
      </c>
      <c r="X9" s="4">
        <f>W9-V9-D8</f>
        <v>57.378535010326289</v>
      </c>
      <c r="AD9" s="1"/>
      <c r="AE9" s="1"/>
      <c r="AF9" s="1"/>
    </row>
    <row r="10" spans="1:32" x14ac:dyDescent="0.3">
      <c r="A10" s="10">
        <v>7</v>
      </c>
      <c r="B10" s="9">
        <v>1000</v>
      </c>
      <c r="C10" s="7">
        <v>30</v>
      </c>
      <c r="D10" s="7">
        <v>2</v>
      </c>
      <c r="E10" s="7">
        <v>90</v>
      </c>
      <c r="F10" s="4">
        <f xml:space="preserve"> MIN(320, 320 * S11)</f>
        <v>279.50976524265536</v>
      </c>
      <c r="G10" s="4">
        <f xml:space="preserve"> MIN(277, 277 * S11 * (1 - B10/10000))</f>
        <v>217.7555764843562</v>
      </c>
      <c r="H10" s="4">
        <f>227.33*(1+(1-S11)*0.5)</f>
        <v>241.71225791779241</v>
      </c>
      <c r="I10" s="4">
        <f>79.71*(1+(1-S11)*0.5)</f>
        <v>84.752932207043642</v>
      </c>
      <c r="J10" s="4">
        <f>(73.42 / G10) * 100</f>
        <v>33.716702545743793</v>
      </c>
      <c r="K10" s="4">
        <f>(155.53 / G10) * 100</f>
        <v>71.424118046030131</v>
      </c>
      <c r="L10" s="4">
        <f>(269.84 / G10) * 100</f>
        <v>123.91875531113463</v>
      </c>
      <c r="M10" s="4">
        <f>((3600)/(H10*42.23))*100</f>
        <v>35.268155264713485</v>
      </c>
      <c r="N10" s="4">
        <f>((3600)/(I10*120))*100</f>
        <v>35.397005411816018</v>
      </c>
      <c r="O10" s="6">
        <f>N10/M10</f>
        <v>1.003653441642621</v>
      </c>
      <c r="S10" s="4">
        <f>(X10/99)^0.7*(298/(C9+273.15))^1.2</f>
        <v>0.80895003679726452</v>
      </c>
      <c r="T10" s="4"/>
      <c r="U10" s="4">
        <f>0.61121*EXP((17.27*C9)/(C9+237.3))</f>
        <v>1.2287868902528185</v>
      </c>
      <c r="V10" s="4">
        <f>(E9/100)*U10</f>
        <v>1.1059082012275367</v>
      </c>
      <c r="W10" s="4">
        <f>101.3*(1-0.00002255*B9)^5.2559</f>
        <v>70.100252275343465</v>
      </c>
      <c r="X10" s="4">
        <f>W10-V10-D9</f>
        <v>66.994344074115929</v>
      </c>
      <c r="AD10" s="1"/>
      <c r="AE10" s="1"/>
      <c r="AF10" s="1"/>
    </row>
    <row r="11" spans="1:32" x14ac:dyDescent="0.3">
      <c r="A11" s="10">
        <v>8</v>
      </c>
      <c r="B11" s="9">
        <v>4000</v>
      </c>
      <c r="C11" s="7">
        <v>10</v>
      </c>
      <c r="D11" s="7">
        <v>2</v>
      </c>
      <c r="E11" s="7">
        <v>30</v>
      </c>
      <c r="F11" s="4">
        <f xml:space="preserve"> MIN(320, 320 * S12)</f>
        <v>237.58287066661964</v>
      </c>
      <c r="G11" s="4">
        <f xml:space="preserve"> MIN(277, 277 * S12 * (1 - B11/10000))</f>
        <v>123.39460345247558</v>
      </c>
      <c r="H11" s="4">
        <f>227.33*(1+(1-S12)*0.5)</f>
        <v>256.60482189274586</v>
      </c>
      <c r="I11" s="4">
        <f>79.71*(1+(1-S12)*0.5)</f>
        <v>89.974795904943349</v>
      </c>
      <c r="J11" s="4">
        <f>(73.42 / G11) * 100</f>
        <v>59.500170952190068</v>
      </c>
      <c r="K11" s="4">
        <f>(155.53 / G11) * 100</f>
        <v>126.04278926987362</v>
      </c>
      <c r="L11" s="4">
        <f>(269.84 / G11) * 100</f>
        <v>218.68055202586442</v>
      </c>
      <c r="M11" s="4">
        <f>((3600)/(H11*42.23))*100</f>
        <v>33.221298722096094</v>
      </c>
      <c r="N11" s="4">
        <f>((3600)/(I11*120))*100</f>
        <v>33.34267079826936</v>
      </c>
      <c r="O11" s="6">
        <f>N11/M11</f>
        <v>1.0036534416426213</v>
      </c>
      <c r="S11" s="4">
        <f>(X11/99)^0.7*(298/(C10+273.15))^1.2</f>
        <v>0.87346801638329807</v>
      </c>
      <c r="T11" s="4"/>
      <c r="U11" s="4">
        <f>0.61121*EXP((17.27*C10)/(C10+237.3))</f>
        <v>4.2459132196530724</v>
      </c>
      <c r="V11" s="4">
        <f>(E10/100)*U11</f>
        <v>3.8213218976877652</v>
      </c>
      <c r="W11" s="4">
        <f>101.3*(1-0.00002255*B10)^5.2559</f>
        <v>89.856064948639215</v>
      </c>
      <c r="X11" s="4">
        <f>W11-V11-D10</f>
        <v>84.034743050951448</v>
      </c>
      <c r="AD11" s="1"/>
      <c r="AE11" s="1"/>
      <c r="AF11" s="1"/>
    </row>
    <row r="12" spans="1:32" x14ac:dyDescent="0.3">
      <c r="A12" s="10">
        <v>9</v>
      </c>
      <c r="B12" s="9">
        <v>4000</v>
      </c>
      <c r="C12" s="7">
        <v>-10</v>
      </c>
      <c r="D12" s="7">
        <v>2</v>
      </c>
      <c r="E12" s="7">
        <v>60</v>
      </c>
      <c r="F12" s="4">
        <f xml:space="preserve"> MIN(320, 320 * S13)</f>
        <v>260.01611031092318</v>
      </c>
      <c r="G12" s="4">
        <f xml:space="preserve"> MIN(277, 277 * S13 * (1 - B12/10000))</f>
        <v>135.04586729273572</v>
      </c>
      <c r="H12" s="4">
        <f>227.33*(1+(1-S13)*0.5)</f>
        <v>248.63646506721537</v>
      </c>
      <c r="I12" s="4">
        <f>79.71*(1+(1-S13)*0.5)</f>
        <v>87.18080601111923</v>
      </c>
      <c r="J12" s="4">
        <f>(73.42 / G12) * 100</f>
        <v>54.366713674287567</v>
      </c>
      <c r="K12" s="4">
        <f>(155.53 / G12) * 100</f>
        <v>115.16827809536838</v>
      </c>
      <c r="L12" s="4">
        <f>(269.84 / G12) * 100</f>
        <v>199.81359326981419</v>
      </c>
      <c r="M12" s="4">
        <f>((3600)/(H12*42.23))*100</f>
        <v>34.285982304826561</v>
      </c>
      <c r="N12" s="4">
        <f>((3600)/(I12*120))*100</f>
        <v>34.411244140337196</v>
      </c>
      <c r="O12" s="6">
        <f>N12/M12</f>
        <v>1.0036534416426215</v>
      </c>
      <c r="S12" s="4">
        <f>(X12/99)^0.7*(298/(C11+273.15))^1.2</f>
        <v>0.74244647083318638</v>
      </c>
      <c r="T12" s="4"/>
      <c r="U12" s="4">
        <f>0.61121*EXP((17.27*C11)/(C11+237.3))</f>
        <v>1.2287868902528185</v>
      </c>
      <c r="V12" s="4">
        <f>(E11/100)*U12</f>
        <v>0.36863606707584556</v>
      </c>
      <c r="W12" s="4">
        <f>101.3*(1-0.00002255*B11)^5.2559</f>
        <v>61.635847499633954</v>
      </c>
      <c r="X12" s="4">
        <f>W12-V12-D11</f>
        <v>59.267211432558106</v>
      </c>
      <c r="AD12" s="1"/>
      <c r="AE12" s="1"/>
      <c r="AF12" s="1"/>
    </row>
    <row r="13" spans="1:32" x14ac:dyDescent="0.3">
      <c r="A13" s="10">
        <v>10</v>
      </c>
      <c r="B13" s="9">
        <v>2000</v>
      </c>
      <c r="C13" s="7">
        <v>30</v>
      </c>
      <c r="D13" s="7">
        <v>2</v>
      </c>
      <c r="E13" s="7">
        <v>30</v>
      </c>
      <c r="F13" s="4">
        <f xml:space="preserve"> MIN(320, 320 * S14)</f>
        <v>261.0225657530176</v>
      </c>
      <c r="G13" s="4">
        <f xml:space="preserve"> MIN(277, 277 * S14 * (1 - B13/10000))</f>
        <v>180.75812678396471</v>
      </c>
      <c r="H13" s="4">
        <f>227.33*(1+(1-S14)*0.5)</f>
        <v>248.27896894901016</v>
      </c>
      <c r="I13" s="4">
        <f>79.71*(1+(1-S14)*0.5)</f>
        <v>87.055455130979624</v>
      </c>
      <c r="J13" s="4">
        <f>(73.42 / G13) * 100</f>
        <v>40.617814151033336</v>
      </c>
      <c r="K13" s="4">
        <f>(155.53 / G13) * 100</f>
        <v>86.043157653367132</v>
      </c>
      <c r="L13" s="4">
        <f>(269.84 / G13) * 100</f>
        <v>149.28236135269458</v>
      </c>
      <c r="M13" s="4">
        <f>((3600)/(H13*42.23))*100</f>
        <v>34.33535058452707</v>
      </c>
      <c r="N13" s="4">
        <f>((3600)/(I13*120))*100</f>
        <v>34.460792784166586</v>
      </c>
      <c r="O13" s="6">
        <f>N13/M13</f>
        <v>1.0036534416426213</v>
      </c>
      <c r="S13" s="4">
        <f>(X13/99)^0.7*(298/(C12+273.15))^1.2</f>
        <v>0.81255034472163501</v>
      </c>
      <c r="T13" s="4"/>
      <c r="U13" s="4">
        <f>0.61121*EXP((17.27*C12)/(C12+237.3))</f>
        <v>0.28590276589740332</v>
      </c>
      <c r="V13" s="4">
        <f>(E12/100)*U13</f>
        <v>0.171541659538442</v>
      </c>
      <c r="W13" s="4">
        <f>101.3*(1-0.00002255*B12)^5.2559</f>
        <v>61.635847499633954</v>
      </c>
      <c r="X13" s="4">
        <f>W13-V13-D12</f>
        <v>59.464305840095513</v>
      </c>
      <c r="AD13" s="1"/>
      <c r="AE13" s="1"/>
      <c r="AF13" s="1"/>
    </row>
    <row r="14" spans="1:32" x14ac:dyDescent="0.3">
      <c r="A14" s="10">
        <v>11</v>
      </c>
      <c r="B14" s="9">
        <v>0</v>
      </c>
      <c r="C14" s="7">
        <v>-10</v>
      </c>
      <c r="D14" s="7">
        <v>6</v>
      </c>
      <c r="E14" s="7">
        <v>90</v>
      </c>
      <c r="F14" s="4">
        <f xml:space="preserve"> MIN(320, 320 * S15)</f>
        <v>320</v>
      </c>
      <c r="G14" s="4">
        <f xml:space="preserve"> MIN(277, 277 * S15 * (1 - B14/10000))</f>
        <v>277</v>
      </c>
      <c r="H14" s="4">
        <f>227.33*(1+(1-S15)*0.5)</f>
        <v>212.74992864525962</v>
      </c>
      <c r="I14" s="4">
        <f>79.71*(1+(1-S15)*0.5)</f>
        <v>74.59770735192734</v>
      </c>
      <c r="J14" s="4">
        <f>(73.42 / G14) * 100</f>
        <v>26.505415162454877</v>
      </c>
      <c r="K14" s="4">
        <f>(155.53 / G14) * 100</f>
        <v>56.148014440433215</v>
      </c>
      <c r="L14" s="4">
        <f>(269.84 / G14) * 100</f>
        <v>97.415162454873638</v>
      </c>
      <c r="M14" s="4">
        <f>((3600)/(H14*42.23))*100</f>
        <v>40.069322212762671</v>
      </c>
      <c r="N14" s="4">
        <f>((3600)/(I14*120))*100</f>
        <v>40.215713143126379</v>
      </c>
      <c r="O14" s="6">
        <f>N14/M14</f>
        <v>1.003653441642621</v>
      </c>
      <c r="S14" s="4">
        <f>(X14/99)^0.7*(298/(C13+273.15))^1.2</f>
        <v>0.81569551797817996</v>
      </c>
      <c r="T14" s="4"/>
      <c r="U14" s="4">
        <f>0.61121*EXP((17.27*C13)/(C13+237.3))</f>
        <v>4.2459132196530724</v>
      </c>
      <c r="V14" s="4">
        <f>(E13/100)*U14</f>
        <v>1.2737739658959217</v>
      </c>
      <c r="W14" s="4">
        <f>101.3*(1-0.00002255*B13)^5.2559</f>
        <v>79.482247119261984</v>
      </c>
      <c r="X14" s="4">
        <f>W14-V14-D13</f>
        <v>76.208473153366057</v>
      </c>
      <c r="AD14" s="1"/>
      <c r="AE14" s="1"/>
      <c r="AF14" s="1"/>
    </row>
    <row r="15" spans="1:32" x14ac:dyDescent="0.3">
      <c r="A15" s="10">
        <v>12</v>
      </c>
      <c r="B15" s="9">
        <v>4000</v>
      </c>
      <c r="C15" s="7">
        <v>20</v>
      </c>
      <c r="D15" s="7">
        <v>6</v>
      </c>
      <c r="E15" s="7">
        <v>90</v>
      </c>
      <c r="F15" s="4">
        <f xml:space="preserve"> MIN(320, 320 * S16)</f>
        <v>212.21444760558882</v>
      </c>
      <c r="G15" s="4">
        <f xml:space="preserve"> MIN(277, 277 * S16 * (1 - B15/10000))</f>
        <v>110.21887872515269</v>
      </c>
      <c r="H15" s="4">
        <f>227.33*(1+(1-S16)*0.5)</f>
        <v>265.6157650403461</v>
      </c>
      <c r="I15" s="4">
        <f>79.71*(1+(1-S16)*0.5)</f>
        <v>93.134353720872667</v>
      </c>
      <c r="J15" s="4">
        <f>(73.42 / G15) * 100</f>
        <v>66.612907742496446</v>
      </c>
      <c r="K15" s="4">
        <f>(155.53 / G15) * 100</f>
        <v>141.11012722950792</v>
      </c>
      <c r="L15" s="4">
        <f>(269.84 / G15) * 100</f>
        <v>244.82194259377877</v>
      </c>
      <c r="M15" s="4">
        <f>((3600)/(H15*42.23))*100</f>
        <v>32.09427512833922</v>
      </c>
      <c r="N15" s="4">
        <f>((3600)/(I15*120))*100</f>
        <v>32.211529689582839</v>
      </c>
      <c r="O15" s="6">
        <f>N15/M15</f>
        <v>1.0036534416426213</v>
      </c>
      <c r="S15" s="4">
        <f>(X15/99)^0.7*(298/(C14+273.15))^1.2</f>
        <v>1.1282723033012836</v>
      </c>
      <c r="T15" s="4"/>
      <c r="U15" s="4">
        <f>0.61121*EXP((17.27*C14)/(C14+237.3))</f>
        <v>0.28590276589740332</v>
      </c>
      <c r="V15" s="4">
        <f>(E14/100)*U15</f>
        <v>0.25731248930766298</v>
      </c>
      <c r="W15" s="4">
        <f>101.3*(1-0.00002255*B14)^5.2559</f>
        <v>101.3</v>
      </c>
      <c r="X15" s="4">
        <f>W15-V15-D14</f>
        <v>95.042687510692332</v>
      </c>
      <c r="AD15" s="1"/>
      <c r="AE15" s="1"/>
      <c r="AF15" s="1"/>
    </row>
    <row r="16" spans="1:32" x14ac:dyDescent="0.3">
      <c r="A16" s="10">
        <v>13</v>
      </c>
      <c r="B16" s="9">
        <v>0</v>
      </c>
      <c r="C16" s="7">
        <v>45</v>
      </c>
      <c r="D16" s="7">
        <v>4</v>
      </c>
      <c r="E16" s="7">
        <v>30</v>
      </c>
      <c r="F16" s="4">
        <f xml:space="preserve"> MIN(320, 320 * S17)</f>
        <v>286.19500532144161</v>
      </c>
      <c r="G16" s="4">
        <f xml:space="preserve"> MIN(277, 277 * S17 * (1 - B16/10000))</f>
        <v>247.73755148137286</v>
      </c>
      <c r="H16" s="4">
        <f>227.33*(1+(1-S17)*0.5)</f>
        <v>239.33763975043234</v>
      </c>
      <c r="I16" s="4">
        <f>79.71*(1+(1-S17)*0.5)</f>
        <v>83.920306446606077</v>
      </c>
      <c r="J16" s="4">
        <f>(73.42 / G16) * 100</f>
        <v>29.636201520914916</v>
      </c>
      <c r="K16" s="4">
        <f>(155.53 / G16) * 100</f>
        <v>62.780147405991514</v>
      </c>
      <c r="L16" s="4">
        <f>(269.84 / G16) * 100</f>
        <v>108.92171912835305</v>
      </c>
      <c r="M16" s="4">
        <f>((3600)/(H16*42.23))*100</f>
        <v>35.618072654674343</v>
      </c>
      <c r="N16" s="4">
        <f>((3600)/(I16*120))*100</f>
        <v>35.748201204540841</v>
      </c>
      <c r="O16" s="6">
        <f>N16/M16</f>
        <v>1.0036534416426213</v>
      </c>
      <c r="S16" s="4">
        <f>(X16/99)^0.7*(298/(C15+273.15))^1.2</f>
        <v>0.66317014876746505</v>
      </c>
      <c r="T16" s="4"/>
      <c r="U16" s="4">
        <f>0.61121*EXP((17.27*C15)/(C15+237.3))</f>
        <v>2.3398508441446699</v>
      </c>
      <c r="V16" s="4">
        <f>(E15/100)*U16</f>
        <v>2.1058657597302028</v>
      </c>
      <c r="W16" s="4">
        <f>101.3*(1-0.00002255*B15)^5.2559</f>
        <v>61.635847499633954</v>
      </c>
      <c r="X16" s="4">
        <f>W16-V16-D15</f>
        <v>53.529981739903754</v>
      </c>
      <c r="AD16" s="1"/>
      <c r="AE16" s="1"/>
      <c r="AF16" s="1"/>
    </row>
    <row r="17" spans="1:32" x14ac:dyDescent="0.3">
      <c r="A17" s="10">
        <v>14</v>
      </c>
      <c r="B17" s="9">
        <v>1000</v>
      </c>
      <c r="C17" s="7">
        <v>-10</v>
      </c>
      <c r="D17" s="7">
        <v>2</v>
      </c>
      <c r="E17" s="7">
        <v>90</v>
      </c>
      <c r="F17" s="4">
        <f xml:space="preserve"> MIN(320, 320 * S18)</f>
        <v>320</v>
      </c>
      <c r="G17" s="4">
        <f xml:space="preserve"> MIN(277, 277 * S18 * (1 - B17/10000))</f>
        <v>265.66947332132452</v>
      </c>
      <c r="H17" s="4">
        <f>227.33*(1+(1-S18)*0.5)</f>
        <v>219.8665576210656</v>
      </c>
      <c r="I17" s="4">
        <f>79.71*(1+(1-S18)*0.5)</f>
        <v>77.093051106211846</v>
      </c>
      <c r="J17" s="4">
        <f>(73.42 / G17) * 100</f>
        <v>27.635843547293543</v>
      </c>
      <c r="K17" s="4">
        <f>(155.53 / G17) * 100</f>
        <v>58.54266884923134</v>
      </c>
      <c r="L17" s="4">
        <f>(269.84 / G17) * 100</f>
        <v>101.56981779898786</v>
      </c>
      <c r="M17" s="4">
        <f>((3600)/(H17*42.23))*100</f>
        <v>38.772360534799269</v>
      </c>
      <c r="N17" s="4">
        <f>((3600)/(I17*120))*100</f>
        <v>38.91401309135982</v>
      </c>
      <c r="O17" s="6">
        <f>N17/M17</f>
        <v>1.003653441642621</v>
      </c>
      <c r="S17" s="4">
        <f>(X17/99)^0.7*(298/(C16+273.15))^1.2</f>
        <v>0.89435939162950495</v>
      </c>
      <c r="T17" s="4"/>
      <c r="U17" s="4">
        <f>0.61121*EXP((17.27*C16)/(C16+237.3))</f>
        <v>9.5889149917403635</v>
      </c>
      <c r="V17" s="4">
        <f>(E16/100)*U17</f>
        <v>2.8766744975221088</v>
      </c>
      <c r="W17" s="4">
        <f>101.3*(1-0.00002255*B16)^5.2559</f>
        <v>101.3</v>
      </c>
      <c r="X17" s="4">
        <f>W17-V17-D16</f>
        <v>94.423325502477894</v>
      </c>
      <c r="AD17" s="1"/>
      <c r="AE17" s="1"/>
      <c r="AF17" s="1"/>
    </row>
    <row r="18" spans="1:32" x14ac:dyDescent="0.3">
      <c r="A18" s="10">
        <v>15</v>
      </c>
      <c r="B18" s="9">
        <v>0</v>
      </c>
      <c r="C18" s="7">
        <v>10</v>
      </c>
      <c r="D18" s="7">
        <v>2</v>
      </c>
      <c r="E18" s="7">
        <v>60</v>
      </c>
      <c r="F18" s="4">
        <f xml:space="preserve"> MIN(320, 320 * S19)</f>
        <v>320</v>
      </c>
      <c r="G18" s="4">
        <f xml:space="preserve"> MIN(277, 277 * S19 * (1 - B18/10000))</f>
        <v>277</v>
      </c>
      <c r="H18" s="4">
        <f>227.33*(1+(1-S19)*0.5)</f>
        <v>220.51341893432297</v>
      </c>
      <c r="I18" s="4">
        <f>79.71*(1+(1-S19)*0.5)</f>
        <v>77.31986373665984</v>
      </c>
      <c r="J18" s="4">
        <f>(73.42 / G18) * 100</f>
        <v>26.505415162454877</v>
      </c>
      <c r="K18" s="4">
        <f>(155.53 / G18) * 100</f>
        <v>56.148014440433215</v>
      </c>
      <c r="L18" s="4">
        <f>(269.84 / G18) * 100</f>
        <v>97.415162454873638</v>
      </c>
      <c r="M18" s="4">
        <f>((3600)/(H18*42.23))*100</f>
        <v>38.658624417628559</v>
      </c>
      <c r="N18" s="4">
        <f>((3600)/(I18*120))*100</f>
        <v>38.799861445922382</v>
      </c>
      <c r="O18" s="6">
        <f>N18/M18</f>
        <v>1.0036534416426213</v>
      </c>
      <c r="S18" s="4">
        <f>(X18/99)^0.7*(298/(C17+273.15))^1.2</f>
        <v>1.0656617461745868</v>
      </c>
      <c r="T18" s="4"/>
      <c r="U18" s="4">
        <f>0.61121*EXP((17.27*C17)/(C17+237.3))</f>
        <v>0.28590276589740332</v>
      </c>
      <c r="V18" s="4">
        <f>(E17/100)*U18</f>
        <v>0.25731248930766298</v>
      </c>
      <c r="W18" s="4">
        <f>101.3*(1-0.00002255*B17)^5.2559</f>
        <v>89.856064948639215</v>
      </c>
      <c r="X18" s="4">
        <f>W18-V18-D17</f>
        <v>87.59875245933155</v>
      </c>
      <c r="AD18" s="1"/>
      <c r="AE18" s="1"/>
      <c r="AF18" s="1"/>
    </row>
    <row r="19" spans="1:32" x14ac:dyDescent="0.3">
      <c r="A19" s="10">
        <v>16</v>
      </c>
      <c r="B19" s="9">
        <v>0</v>
      </c>
      <c r="C19" s="7">
        <v>30</v>
      </c>
      <c r="D19" s="7">
        <v>4</v>
      </c>
      <c r="E19" s="7">
        <v>60</v>
      </c>
      <c r="F19" s="4">
        <f xml:space="preserve"> MIN(320, 320 * S20)</f>
        <v>304.01085608289929</v>
      </c>
      <c r="G19" s="4">
        <f xml:space="preserve"> MIN(277, 277 * S20 * (1 - B19/10000))</f>
        <v>263.15939729675972</v>
      </c>
      <c r="H19" s="4">
        <f>227.33*(1+(1-S20)*0.5)</f>
        <v>233.00939388542892</v>
      </c>
      <c r="I19" s="4">
        <f>79.71*(1+(1-S20)*0.5)</f>
        <v>81.701397908800146</v>
      </c>
      <c r="J19" s="4">
        <f>(73.42 / G19) * 100</f>
        <v>27.899440701790972</v>
      </c>
      <c r="K19" s="4">
        <f>(155.53 / G19) * 100</f>
        <v>59.101062549026842</v>
      </c>
      <c r="L19" s="4">
        <f>(269.84 / G19) * 100</f>
        <v>102.53861453243363</v>
      </c>
      <c r="M19" s="4">
        <f>((3600)/(H19*42.23))*100</f>
        <v>36.585415289397325</v>
      </c>
      <c r="N19" s="4">
        <f>((3600)/(I19*120))*100</f>
        <v>36.719077969128193</v>
      </c>
      <c r="O19" s="6">
        <f>N19/M19</f>
        <v>1.003653441642621</v>
      </c>
      <c r="S19" s="4">
        <f>(X19/99)^0.7*(298/(C18+273.15))^1.2</f>
        <v>1.0599708007361726</v>
      </c>
      <c r="T19" s="4"/>
      <c r="U19" s="4">
        <f>0.61121*EXP((17.27*C18)/(C18+237.3))</f>
        <v>1.2287868902528185</v>
      </c>
      <c r="V19" s="4">
        <f>(E18/100)*U19</f>
        <v>0.73727213415169113</v>
      </c>
      <c r="W19" s="4">
        <f>101.3*(1-0.00002255*B18)^5.2559</f>
        <v>101.3</v>
      </c>
      <c r="X19" s="4">
        <f>W19-V19-D18</f>
        <v>98.562727865848302</v>
      </c>
      <c r="AD19" s="1"/>
      <c r="AE19" s="1"/>
      <c r="AF19" s="1"/>
    </row>
    <row r="20" spans="1:32" x14ac:dyDescent="0.3">
      <c r="A20" s="10">
        <v>17</v>
      </c>
      <c r="B20" s="9">
        <v>4000</v>
      </c>
      <c r="C20" s="7">
        <v>30</v>
      </c>
      <c r="D20" s="7">
        <v>4</v>
      </c>
      <c r="E20" s="7">
        <v>60</v>
      </c>
      <c r="F20" s="4">
        <f xml:space="preserve"> MIN(320, 320 * S21)</f>
        <v>207.97796709917594</v>
      </c>
      <c r="G20" s="4">
        <f xml:space="preserve"> MIN(277, 277 * S21 * (1 - B20/10000))</f>
        <v>108.0185566621345</v>
      </c>
      <c r="H20" s="4">
        <f>227.33*(1+(1-S21)*0.5)</f>
        <v>267.12057615522554</v>
      </c>
      <c r="I20" s="4">
        <f>79.71*(1+(1-S21)*0.5)</f>
        <v>93.661994128944812</v>
      </c>
      <c r="J20" s="4">
        <f>(73.42 / G20) * 100</f>
        <v>67.969802845678188</v>
      </c>
      <c r="K20" s="4">
        <f>(155.53 / G20) * 100</f>
        <v>143.98451970291921</v>
      </c>
      <c r="L20" s="4">
        <f>(269.84 / G20) * 100</f>
        <v>249.80892944535276</v>
      </c>
      <c r="M20" s="4">
        <f>((3600)/(H20*42.23))*100</f>
        <v>31.913473549395871</v>
      </c>
      <c r="N20" s="4">
        <f>((3600)/(I20*120))*100</f>
        <v>32.030067562621923</v>
      </c>
      <c r="O20" s="6">
        <f>N20/M20</f>
        <v>1.0036534416426213</v>
      </c>
      <c r="S20" s="4">
        <f>(X20/99)^0.7*(298/(C19+273.15))^1.2</f>
        <v>0.95003392525906039</v>
      </c>
      <c r="T20" s="4"/>
      <c r="U20" s="4">
        <f>0.61121*EXP((17.27*C19)/(C19+237.3))</f>
        <v>4.2459132196530724</v>
      </c>
      <c r="V20" s="4">
        <f>(E19/100)*U20</f>
        <v>2.5475479317918435</v>
      </c>
      <c r="W20" s="4">
        <f>101.3*(1-0.00002255*B19)^5.2559</f>
        <v>101.3</v>
      </c>
      <c r="X20" s="4">
        <f>W20-V20-D19</f>
        <v>94.752452068208157</v>
      </c>
      <c r="AD20" s="1"/>
      <c r="AE20" s="1"/>
      <c r="AF20" s="1"/>
    </row>
    <row r="21" spans="1:32" x14ac:dyDescent="0.3">
      <c r="A21" s="10">
        <v>18</v>
      </c>
      <c r="B21" s="9">
        <v>4000</v>
      </c>
      <c r="C21" s="7">
        <v>-10</v>
      </c>
      <c r="D21" s="7">
        <v>6</v>
      </c>
      <c r="E21" s="7">
        <v>60</v>
      </c>
      <c r="F21" s="4">
        <f xml:space="preserve"> MIN(320, 320 * S22)</f>
        <v>247.64542951182966</v>
      </c>
      <c r="G21" s="4">
        <f xml:space="preserve"> MIN(277, 277 * S22 * (1 - B21/10000))</f>
        <v>128.62084495270653</v>
      </c>
      <c r="H21" s="4">
        <f>227.33*(1+(1-S22)*0.5)</f>
        <v>253.03056954543092</v>
      </c>
      <c r="I21" s="4">
        <f>79.71*(1+(1-S22)*0.5)</f>
        <v>88.721535646268833</v>
      </c>
      <c r="J21" s="4">
        <f>(73.42 / G21) * 100</f>
        <v>57.082504804719868</v>
      </c>
      <c r="K21" s="4">
        <f>(155.53 / G21) * 100</f>
        <v>120.92130171994117</v>
      </c>
      <c r="L21" s="4">
        <f>(269.84 / G21) * 100</f>
        <v>209.79492095485708</v>
      </c>
      <c r="M21" s="4">
        <f>((3600)/(H21*42.23))*100</f>
        <v>33.690575241338898</v>
      </c>
      <c r="N21" s="4">
        <f>((3600)/(I21*120))*100</f>
        <v>33.813661791889473</v>
      </c>
      <c r="O21" s="6">
        <f>N21/M21</f>
        <v>1.0036534416426213</v>
      </c>
      <c r="S21" s="4">
        <f>(X21/99)^0.7*(298/(C20+273.15))^1.2</f>
        <v>0.64993114718492484</v>
      </c>
      <c r="T21" s="4"/>
      <c r="U21" s="4">
        <f>0.61121*EXP((17.27*C20)/(C20+237.3))</f>
        <v>4.2459132196530724</v>
      </c>
      <c r="V21" s="4">
        <f>(E20/100)*U21</f>
        <v>2.5475479317918435</v>
      </c>
      <c r="W21" s="4">
        <f>101.3*(1-0.00002255*B20)^5.2559</f>
        <v>61.635847499633954</v>
      </c>
      <c r="X21" s="4">
        <f>W21-V21-D20</f>
        <v>55.088299567842114</v>
      </c>
      <c r="AD21" s="1"/>
      <c r="AE21" s="1"/>
      <c r="AF21" s="1"/>
    </row>
    <row r="22" spans="1:32" x14ac:dyDescent="0.3">
      <c r="A22" s="10">
        <v>19</v>
      </c>
      <c r="B22" s="9">
        <v>3000</v>
      </c>
      <c r="C22" s="7">
        <v>30</v>
      </c>
      <c r="D22" s="7">
        <v>4</v>
      </c>
      <c r="E22" s="7">
        <v>90</v>
      </c>
      <c r="F22" s="4">
        <f xml:space="preserve"> MIN(320, 320 * S23)</f>
        <v>226.62852565397839</v>
      </c>
      <c r="G22" s="4">
        <f xml:space="preserve"> MIN(277, 277 * S23 * (1 - B22/10000))</f>
        <v>137.32272226345754</v>
      </c>
      <c r="H22" s="4">
        <f>227.33*(1+(1-S23)*0.5)</f>
        <v>260.49583947356422</v>
      </c>
      <c r="I22" s="4">
        <f>79.71*(1+(1-S23)*0.5)</f>
        <v>91.339125343939656</v>
      </c>
      <c r="J22" s="4">
        <f>(73.42 / G22) * 100</f>
        <v>53.46529604848763</v>
      </c>
      <c r="K22" s="4">
        <f>(155.53 / G22) * 100</f>
        <v>113.25875094553636</v>
      </c>
      <c r="L22" s="4">
        <f>(269.84 / G22) * 100</f>
        <v>196.50061952770227</v>
      </c>
      <c r="M22" s="4">
        <f>((3600)/(H22*42.23))*100</f>
        <v>32.725073301964528</v>
      </c>
      <c r="N22" s="4">
        <f>((3600)/(I22*120))*100</f>
        <v>32.844632447523757</v>
      </c>
      <c r="O22" s="6">
        <f>N22/M22</f>
        <v>1.0036534416426213</v>
      </c>
      <c r="S22" s="4">
        <f>(X22/99)^0.7*(298/(C21+273.15))^1.2</f>
        <v>0.77389196722446774</v>
      </c>
      <c r="T22" s="4"/>
      <c r="U22" s="4">
        <f>0.61121*EXP((17.27*C21)/(C21+237.3))</f>
        <v>0.28590276589740332</v>
      </c>
      <c r="V22" s="4">
        <f>(E21/100)*U22</f>
        <v>0.171541659538442</v>
      </c>
      <c r="W22" s="4">
        <f>101.3*(1-0.00002255*B21)^5.2559</f>
        <v>61.635847499633954</v>
      </c>
      <c r="X22" s="4">
        <f>W22-V22-D21</f>
        <v>55.464305840095513</v>
      </c>
      <c r="AD22" s="1"/>
      <c r="AE22" s="1"/>
      <c r="AF22" s="1"/>
    </row>
    <row r="23" spans="1:32" x14ac:dyDescent="0.3">
      <c r="A23" s="10">
        <v>20</v>
      </c>
      <c r="B23" s="9">
        <v>0</v>
      </c>
      <c r="C23" s="7">
        <v>-10</v>
      </c>
      <c r="D23" s="7">
        <v>6</v>
      </c>
      <c r="E23" s="7">
        <v>30</v>
      </c>
      <c r="F23" s="4">
        <f xml:space="preserve"> MIN(320, 320 * S24)</f>
        <v>320</v>
      </c>
      <c r="G23" s="4">
        <f xml:space="preserve"> MIN(277, 277 * S24 * (1 - B23/10000))</f>
        <v>277</v>
      </c>
      <c r="H23" s="4">
        <f>227.33*(1+(1-S24)*0.5)</f>
        <v>212.58794464481073</v>
      </c>
      <c r="I23" s="4">
        <f>79.71*(1+(1-S24)*0.5)</f>
        <v>74.540909988289542</v>
      </c>
      <c r="J23" s="4">
        <f>(73.42 / G23) * 100</f>
        <v>26.505415162454877</v>
      </c>
      <c r="K23" s="4">
        <f>(155.53 / G23) * 100</f>
        <v>56.148014440433215</v>
      </c>
      <c r="L23" s="4">
        <f>(269.84 / G23) * 100</f>
        <v>97.415162454873638</v>
      </c>
      <c r="M23" s="4">
        <f>((3600)/(H23*42.23))*100</f>
        <v>40.099853525900592</v>
      </c>
      <c r="N23" s="4">
        <f>((3600)/(I23*120))*100</f>
        <v>40.246356000635132</v>
      </c>
      <c r="O23" s="6">
        <f>N23/M23</f>
        <v>1.0036534416426213</v>
      </c>
      <c r="S23" s="4">
        <f>(X23/99)^0.7*(298/(C22+273.15))^1.2</f>
        <v>0.70821414266868243</v>
      </c>
      <c r="T23" s="4"/>
      <c r="U23" s="4">
        <f>0.61121*EXP((17.27*C22)/(C22+237.3))</f>
        <v>4.2459132196530724</v>
      </c>
      <c r="V23" s="4">
        <f>(E22/100)*U23</f>
        <v>3.8213218976877652</v>
      </c>
      <c r="W23" s="4">
        <f>101.3*(1-0.00002255*B22)^5.2559</f>
        <v>70.100252275343465</v>
      </c>
      <c r="X23" s="4">
        <f>W23-V23-D22</f>
        <v>62.278930377655698</v>
      </c>
      <c r="AD23" s="1"/>
      <c r="AE23" s="1"/>
      <c r="AF23" s="1"/>
    </row>
    <row r="24" spans="1:32" x14ac:dyDescent="0.3">
      <c r="A24" s="8">
        <v>21</v>
      </c>
      <c r="B24" s="7">
        <v>4000</v>
      </c>
      <c r="C24" s="7">
        <v>10</v>
      </c>
      <c r="D24" s="7">
        <v>6</v>
      </c>
      <c r="E24" s="7">
        <v>30</v>
      </c>
      <c r="F24" s="4">
        <f xml:space="preserve"> MIN(320, 320 * S25)</f>
        <v>226.24149736197018</v>
      </c>
      <c r="G24" s="4">
        <f xml:space="preserve"> MIN(277, 277 * S25 * (1 - B24/10000))</f>
        <v>117.50417769237326</v>
      </c>
      <c r="H24" s="4">
        <f>227.33*(1+(1-S25)*0.5)</f>
        <v>260.63331313234897</v>
      </c>
      <c r="I24" s="4">
        <f>79.71*(1+(1-S25)*0.5)</f>
        <v>91.387328508245872</v>
      </c>
      <c r="J24" s="4">
        <f>(73.42 / G24) * 100</f>
        <v>62.482884814711916</v>
      </c>
      <c r="K24" s="4">
        <f>(155.53 / G24) * 100</f>
        <v>132.36125136518856</v>
      </c>
      <c r="L24" s="4">
        <f>(269.84 / G24) * 100</f>
        <v>229.6428989158521</v>
      </c>
      <c r="M24" s="4">
        <f>((3600)/(H24*42.23))*100</f>
        <v>32.707812133364278</v>
      </c>
      <c r="N24" s="4">
        <f>((3600)/(I24*120))*100</f>
        <v>32.827308216251339</v>
      </c>
      <c r="O24" s="6">
        <f>N24/M24</f>
        <v>1.003653441642621</v>
      </c>
      <c r="S24" s="4">
        <f>(X24/99)^0.7*(298/(C23+273.15))^1.2</f>
        <v>1.1296974033800138</v>
      </c>
      <c r="T24" s="4"/>
      <c r="U24" s="4">
        <f>0.61121*EXP((17.27*C23)/(C23+237.3))</f>
        <v>0.28590276589740332</v>
      </c>
      <c r="V24" s="4">
        <f>(E23/100)*U24</f>
        <v>8.5770829769220999E-2</v>
      </c>
      <c r="W24" s="4">
        <f>101.3*(1-0.00002255*B23)^5.2559</f>
        <v>101.3</v>
      </c>
      <c r="X24" s="4">
        <f>W24-V24-D23</f>
        <v>95.21422917023078</v>
      </c>
      <c r="AD24" s="1"/>
      <c r="AE24" s="1"/>
      <c r="AF24" s="1"/>
    </row>
    <row r="25" spans="1:32" x14ac:dyDescent="0.3">
      <c r="A25" s="8">
        <v>22</v>
      </c>
      <c r="B25" s="7">
        <v>1000</v>
      </c>
      <c r="C25" s="7">
        <v>-10</v>
      </c>
      <c r="D25" s="7">
        <v>2</v>
      </c>
      <c r="E25" s="7">
        <v>30</v>
      </c>
      <c r="F25" s="4">
        <f xml:space="preserve"> MIN(320, 320 * S26)</f>
        <v>320</v>
      </c>
      <c r="G25" s="4">
        <f xml:space="preserve"> MIN(277, 277 * S26 * (1 - B25/10000))</f>
        <v>266.0335424887781</v>
      </c>
      <c r="H25" s="4">
        <f>227.33*(1+(1-S26)*0.5)</f>
        <v>219.70056515448471</v>
      </c>
      <c r="I25" s="4">
        <f>79.71*(1+(1-S26)*0.5)</f>
        <v>77.034848231487146</v>
      </c>
      <c r="J25" s="4">
        <f>(73.42 / G25) * 100</f>
        <v>27.598023660154443</v>
      </c>
      <c r="K25" s="4">
        <f>(155.53 / G25) * 100</f>
        <v>58.462552708578322</v>
      </c>
      <c r="L25" s="4">
        <f>(269.84 / G25) * 100</f>
        <v>101.43081863873704</v>
      </c>
      <c r="M25" s="4">
        <f>((3600)/(H25*42.23))*100</f>
        <v>38.801654586709468</v>
      </c>
      <c r="N25" s="4">
        <f>((3600)/(I25*120))*100</f>
        <v>38.94341416737916</v>
      </c>
      <c r="O25" s="6">
        <f>N25/M25</f>
        <v>1.0036534416426213</v>
      </c>
      <c r="S25" s="4">
        <f>(X25/99)^0.7*(298/(C24+273.15))^1.2</f>
        <v>0.70700467925615684</v>
      </c>
      <c r="T25" s="4"/>
      <c r="U25" s="4">
        <f>0.61121*EXP((17.27*C24)/(C24+237.3))</f>
        <v>1.2287868902528185</v>
      </c>
      <c r="V25" s="4">
        <f>(E24/100)*U25</f>
        <v>0.36863606707584556</v>
      </c>
      <c r="W25" s="4">
        <f>101.3*(1-0.00002255*B24)^5.2559</f>
        <v>61.635847499633954</v>
      </c>
      <c r="X25" s="4">
        <f>W25-V25-D24</f>
        <v>55.267211432558106</v>
      </c>
      <c r="AD25" s="1"/>
      <c r="AE25" s="1"/>
      <c r="AF25" s="1"/>
    </row>
    <row r="26" spans="1:32" x14ac:dyDescent="0.3">
      <c r="A26" s="8">
        <v>23</v>
      </c>
      <c r="B26" s="7">
        <v>0</v>
      </c>
      <c r="C26" s="7">
        <v>45</v>
      </c>
      <c r="D26" s="7">
        <v>4</v>
      </c>
      <c r="E26" s="7">
        <v>90</v>
      </c>
      <c r="F26" s="4">
        <f xml:space="preserve"> MIN(320, 320 * S27)</f>
        <v>273.87359417297336</v>
      </c>
      <c r="G26" s="4">
        <f xml:space="preserve"> MIN(277, 277 * S27 * (1 - B26/10000))</f>
        <v>237.07182995598006</v>
      </c>
      <c r="H26" s="4">
        <f>227.33*(1+(1-S27)*0.5)</f>
        <v>243.71424349477809</v>
      </c>
      <c r="I26" s="4">
        <f>79.71*(1+(1-S27)*0.5)</f>
        <v>85.454899700737954</v>
      </c>
      <c r="J26" s="4">
        <f>(73.42 / G26) * 100</f>
        <v>30.969516712986422</v>
      </c>
      <c r="K26" s="4">
        <f>(155.53 / G26) * 100</f>
        <v>65.604589136077067</v>
      </c>
      <c r="L26" s="4">
        <f>(269.84 / G26) * 100</f>
        <v>113.8220429015562</v>
      </c>
      <c r="M26" s="4">
        <f>((3600)/(H26*42.23))*100</f>
        <v>34.978445737874274</v>
      </c>
      <c r="N26" s="4">
        <f>((3600)/(I26*120))*100</f>
        <v>35.106237448127189</v>
      </c>
      <c r="O26" s="6">
        <f>N26/M26</f>
        <v>1.0036534416426213</v>
      </c>
      <c r="S26" s="4">
        <f>(X26/99)^0.7*(298/(C25+273.15))^1.2</f>
        <v>1.0671221118683438</v>
      </c>
      <c r="T26" s="4"/>
      <c r="U26" s="4">
        <f>0.61121*EXP((17.27*C25)/(C25+237.3))</f>
        <v>0.28590276589740332</v>
      </c>
      <c r="V26" s="4">
        <f>(E25/100)*U26</f>
        <v>8.5770829769220999E-2</v>
      </c>
      <c r="W26" s="4">
        <f>101.3*(1-0.00002255*B25)^5.2559</f>
        <v>89.856064948639215</v>
      </c>
      <c r="X26" s="4">
        <f>W26-V26-D25</f>
        <v>87.770294118869998</v>
      </c>
      <c r="AD26" s="1"/>
      <c r="AE26" s="1"/>
      <c r="AF26" s="1"/>
    </row>
    <row r="27" spans="1:32" x14ac:dyDescent="0.3">
      <c r="A27" s="8">
        <v>24</v>
      </c>
      <c r="B27" s="7">
        <v>1000</v>
      </c>
      <c r="C27" s="7">
        <v>45</v>
      </c>
      <c r="D27" s="7">
        <v>6</v>
      </c>
      <c r="E27" s="7">
        <v>30</v>
      </c>
      <c r="F27" s="4">
        <f xml:space="preserve"> MIN(320, 320 * S28)</f>
        <v>257.02105286096207</v>
      </c>
      <c r="G27" s="4">
        <f xml:space="preserve"> MIN(277, 277 * S28 * (1 - B27/10000))</f>
        <v>200.23546399449327</v>
      </c>
      <c r="H27" s="4">
        <f>227.33*(1+(1-S28)*0.5)</f>
        <v>249.70031883299606</v>
      </c>
      <c r="I27" s="4">
        <f>79.71*(1+(1-S28)*0.5)</f>
        <v>87.55383105695735</v>
      </c>
      <c r="J27" s="4">
        <f>(73.42 / G27) * 100</f>
        <v>36.666831407057416</v>
      </c>
      <c r="K27" s="4">
        <f>(155.53 / G27) * 100</f>
        <v>77.673553374280019</v>
      </c>
      <c r="L27" s="4">
        <f>(269.84 / G27) * 100</f>
        <v>134.76134277962913</v>
      </c>
      <c r="M27" s="4">
        <f>((3600)/(H27*42.23))*100</f>
        <v>34.139906114139457</v>
      </c>
      <c r="N27" s="4">
        <f>((3600)/(I27*120))*100</f>
        <v>34.264634268812031</v>
      </c>
      <c r="O27" s="6">
        <f>N27/M27</f>
        <v>1.0036534416426213</v>
      </c>
      <c r="S27" s="4">
        <f>(X27/99)^0.7*(298/(C26+273.15))^1.2</f>
        <v>0.85585498179054176</v>
      </c>
      <c r="T27" s="4"/>
      <c r="U27" s="4">
        <f>0.61121*EXP((17.27*C26)/(C26+237.3))</f>
        <v>9.5889149917403635</v>
      </c>
      <c r="V27" s="4">
        <f>(E26/100)*U27</f>
        <v>8.6300234925663268</v>
      </c>
      <c r="W27" s="4">
        <f>101.3*(1-0.00002255*B26)^5.2559</f>
        <v>101.3</v>
      </c>
      <c r="X27" s="4">
        <f>W27-V27-D26</f>
        <v>88.669976507433674</v>
      </c>
      <c r="AD27" s="1"/>
      <c r="AE27" s="1"/>
      <c r="AF27" s="1"/>
    </row>
    <row r="28" spans="1:32" x14ac:dyDescent="0.3">
      <c r="A28" s="8">
        <v>25</v>
      </c>
      <c r="B28" s="7">
        <v>4000</v>
      </c>
      <c r="C28" s="7">
        <v>10</v>
      </c>
      <c r="D28" s="7">
        <v>4</v>
      </c>
      <c r="E28" s="7">
        <v>30</v>
      </c>
      <c r="F28" s="4">
        <f xml:space="preserve"> MIN(320, 320 * S29)</f>
        <v>231.94189714844217</v>
      </c>
      <c r="G28" s="4">
        <f xml:space="preserve"> MIN(277, 277 * S29 * (1 - B28/10000))</f>
        <v>120.46482283147215</v>
      </c>
      <c r="H28" s="4">
        <f>227.33*(1+(1-S29)*0.5)</f>
        <v>258.60851331444479</v>
      </c>
      <c r="I28" s="4">
        <f>79.71*(1+(1-S29)*0.5)</f>
        <v>90.677361528590112</v>
      </c>
      <c r="J28" s="4">
        <f>(73.42 / G28) * 100</f>
        <v>60.947252711866852</v>
      </c>
      <c r="K28" s="4">
        <f>(155.53 / G28) * 100</f>
        <v>129.10822955974734</v>
      </c>
      <c r="L28" s="4">
        <f>(269.84 / G28) * 100</f>
        <v>223.99900124993391</v>
      </c>
      <c r="M28" s="4">
        <f>((3600)/(H28*42.23))*100</f>
        <v>32.963901042437257</v>
      </c>
      <c r="N28" s="4">
        <f>((3600)/(I28*120))*100</f>
        <v>33.084332731208939</v>
      </c>
      <c r="O28" s="6">
        <f>N28/M28</f>
        <v>1.003653441642621</v>
      </c>
      <c r="S28" s="4">
        <f>(X28/99)^0.7*(298/(C27+273.15))^1.2</f>
        <v>0.80319079019050654</v>
      </c>
      <c r="T28" s="4"/>
      <c r="U28" s="4">
        <f>0.61121*EXP((17.27*C27)/(C27+237.3))</f>
        <v>9.5889149917403635</v>
      </c>
      <c r="V28" s="4">
        <f>(E27/100)*U28</f>
        <v>2.8766744975221088</v>
      </c>
      <c r="W28" s="4">
        <f>101.3*(1-0.00002255*B27)^5.2559</f>
        <v>89.856064948639215</v>
      </c>
      <c r="X28" s="4">
        <f>W28-V28-D27</f>
        <v>80.979390451117112</v>
      </c>
      <c r="AD28" s="1"/>
      <c r="AE28" s="1"/>
      <c r="AF28" s="1"/>
    </row>
    <row r="29" spans="1:32" x14ac:dyDescent="0.3">
      <c r="A29" s="8">
        <v>26</v>
      </c>
      <c r="B29" s="7">
        <v>4000</v>
      </c>
      <c r="C29" s="7">
        <v>10</v>
      </c>
      <c r="D29" s="7">
        <v>6</v>
      </c>
      <c r="E29" s="7">
        <v>90</v>
      </c>
      <c r="F29" s="4">
        <f xml:space="preserve"> MIN(320, 320 * S30)</f>
        <v>224.12458055954369</v>
      </c>
      <c r="G29" s="4">
        <f xml:space="preserve"> MIN(277, 277 * S30 * (1 - B29/10000))</f>
        <v>116.40470402811299</v>
      </c>
      <c r="H29" s="4">
        <f>227.33*(1+(1-S30)*0.5)</f>
        <v>261.38524859593582</v>
      </c>
      <c r="I29" s="4">
        <f>79.71*(1+(1-S30)*0.5)</f>
        <v>91.650983880623073</v>
      </c>
      <c r="J29" s="4">
        <f>(73.42 / G29) * 100</f>
        <v>63.073052427733742</v>
      </c>
      <c r="K29" s="4">
        <f>(155.53 / G29) * 100</f>
        <v>133.61143890064599</v>
      </c>
      <c r="L29" s="4">
        <f>(269.84 / G29) * 100</f>
        <v>231.81193771587675</v>
      </c>
      <c r="M29" s="4">
        <f>((3600)/(H29*42.23))*100</f>
        <v>32.613720504201865</v>
      </c>
      <c r="N29" s="4">
        <f>((3600)/(I29*120))*100</f>
        <v>32.732872828812724</v>
      </c>
      <c r="O29" s="6">
        <f>N29/M29</f>
        <v>1.0036534416426213</v>
      </c>
      <c r="S29" s="4">
        <f>(X29/99)^0.7*(298/(C28+273.15))^1.2</f>
        <v>0.72481842858888179</v>
      </c>
      <c r="T29" s="4"/>
      <c r="U29" s="4">
        <f>0.61121*EXP((17.27*C28)/(C28+237.3))</f>
        <v>1.2287868902528185</v>
      </c>
      <c r="V29" s="4">
        <f>(E28/100)*U29</f>
        <v>0.36863606707584556</v>
      </c>
      <c r="W29" s="4">
        <f>101.3*(1-0.00002255*B28)^5.2559</f>
        <v>61.635847499633954</v>
      </c>
      <c r="X29" s="4">
        <f>W29-V29-D28</f>
        <v>57.267211432558106</v>
      </c>
      <c r="AD29" s="1"/>
      <c r="AE29" s="1"/>
      <c r="AF29" s="1"/>
    </row>
    <row r="30" spans="1:32" x14ac:dyDescent="0.3">
      <c r="A30" s="8">
        <v>27</v>
      </c>
      <c r="B30" s="7">
        <v>1000</v>
      </c>
      <c r="C30" s="7">
        <v>30</v>
      </c>
      <c r="D30" s="7">
        <v>6</v>
      </c>
      <c r="E30" s="7">
        <v>60</v>
      </c>
      <c r="F30" s="4">
        <f xml:space="preserve"> MIN(320, 320 * S31)</f>
        <v>273.1310032524259</v>
      </c>
      <c r="G30" s="4">
        <f xml:space="preserve"> MIN(277, 277 * S31 * (1 - B30/10000))</f>
        <v>212.78612222134302</v>
      </c>
      <c r="H30" s="4">
        <f>227.33*(1+(1-S31)*0.5)</f>
        <v>243.97801411035317</v>
      </c>
      <c r="I30" s="4">
        <f>79.71*(1+(1-S31)*0.5)</f>
        <v>85.547387079295518</v>
      </c>
      <c r="J30" s="4">
        <f>(73.42 / G30) * 100</f>
        <v>34.504129890401181</v>
      </c>
      <c r="K30" s="4">
        <f>(155.53 / G30) * 100</f>
        <v>73.092172730238289</v>
      </c>
      <c r="L30" s="4">
        <f>(269.84 / G30) * 100</f>
        <v>126.81278138961936</v>
      </c>
      <c r="M30" s="4">
        <f>((3600)/(H30*42.23))*100</f>
        <v>34.940629682203109</v>
      </c>
      <c r="N30" s="4">
        <f>((3600)/(I30*120))*100</f>
        <v>35.068283233703475</v>
      </c>
      <c r="O30" s="6">
        <f>N30/M30</f>
        <v>1.0036534416426213</v>
      </c>
      <c r="S30" s="4">
        <f>(X30/99)^0.7*(298/(C29+273.15))^1.2</f>
        <v>0.70038931424857398</v>
      </c>
      <c r="T30" s="4"/>
      <c r="U30" s="4">
        <f>0.61121*EXP((17.27*C29)/(C29+237.3))</f>
        <v>1.2287868902528185</v>
      </c>
      <c r="V30" s="4">
        <f>(E29/100)*U30</f>
        <v>1.1059082012275367</v>
      </c>
      <c r="W30" s="4">
        <f>101.3*(1-0.00002255*B29)^5.2559</f>
        <v>61.635847499633954</v>
      </c>
      <c r="X30" s="4">
        <f>W30-V30-D29</f>
        <v>54.529939298406418</v>
      </c>
      <c r="AD30" s="1"/>
      <c r="AE30" s="1"/>
      <c r="AF30" s="1"/>
    </row>
    <row r="31" spans="1:32" x14ac:dyDescent="0.3">
      <c r="A31" s="8">
        <v>28</v>
      </c>
      <c r="B31" s="7">
        <v>2000</v>
      </c>
      <c r="C31" s="7">
        <v>20</v>
      </c>
      <c r="D31" s="7">
        <v>4</v>
      </c>
      <c r="E31" s="7">
        <v>30</v>
      </c>
      <c r="F31" s="4">
        <f xml:space="preserve"> MIN(320, 320 * S32)</f>
        <v>268.16864022650282</v>
      </c>
      <c r="G31" s="4">
        <f xml:space="preserve"> MIN(277, 277 * S32 * (1 - B31/10000))</f>
        <v>185.70678335685321</v>
      </c>
      <c r="H31" s="4">
        <f>227.33*(1+(1-S32)*0.5)</f>
        <v>245.74066096454553</v>
      </c>
      <c r="I31" s="4">
        <f>79.71*(1+(1-S32)*0.5)</f>
        <v>86.165433886789785</v>
      </c>
      <c r="J31" s="4">
        <f>(73.42 / G31) * 100</f>
        <v>39.535443279374725</v>
      </c>
      <c r="K31" s="4">
        <f>(155.53 / G31) * 100</f>
        <v>83.750306363949207</v>
      </c>
      <c r="L31" s="4">
        <f>(269.84 / G31) * 100</f>
        <v>145.30433144247445</v>
      </c>
      <c r="M31" s="4">
        <f>((3600)/(H31*42.23))*100</f>
        <v>34.690007783689857</v>
      </c>
      <c r="N31" s="4">
        <f>((3600)/(I31*120))*100</f>
        <v>34.816745702709639</v>
      </c>
      <c r="O31" s="6">
        <f>N31/M31</f>
        <v>1.003653441642621</v>
      </c>
      <c r="S31" s="4">
        <f>(X31/99)^0.7*(298/(C30+273.15))^1.2</f>
        <v>0.85353438516383084</v>
      </c>
      <c r="T31" s="4"/>
      <c r="U31" s="4">
        <f>0.61121*EXP((17.27*C30)/(C30+237.3))</f>
        <v>4.2459132196530724</v>
      </c>
      <c r="V31" s="4">
        <f>(E30/100)*U31</f>
        <v>2.5475479317918435</v>
      </c>
      <c r="W31" s="4">
        <f>101.3*(1-0.00002255*B30)^5.2559</f>
        <v>89.856064948639215</v>
      </c>
      <c r="X31" s="4">
        <f>W31-V31-D30</f>
        <v>81.308517016847375</v>
      </c>
      <c r="AD31" s="1"/>
      <c r="AE31" s="1"/>
      <c r="AF31" s="1"/>
    </row>
    <row r="32" spans="1:32" x14ac:dyDescent="0.3">
      <c r="A32" s="8">
        <v>29</v>
      </c>
      <c r="B32" s="7">
        <v>3000</v>
      </c>
      <c r="C32" s="7">
        <v>-10</v>
      </c>
      <c r="D32" s="7">
        <v>6</v>
      </c>
      <c r="E32" s="7">
        <v>30</v>
      </c>
      <c r="F32" s="4">
        <f xml:space="preserve"> MIN(320, 320 * S33)</f>
        <v>273.78873301619342</v>
      </c>
      <c r="G32" s="4">
        <f xml:space="preserve"> MIN(277, 277 * S33 * (1 - B32/10000))</f>
        <v>165.89886041199969</v>
      </c>
      <c r="H32" s="4">
        <f>227.33*(1+(1-S33)*0.5)</f>
        <v>243.74438644285746</v>
      </c>
      <c r="I32" s="4">
        <f>79.71*(1+(1-S33)*0.5)</f>
        <v>85.46546889262379</v>
      </c>
      <c r="J32" s="4">
        <f>(73.42 / G32) * 100</f>
        <v>44.255879647193424</v>
      </c>
      <c r="K32" s="4">
        <f>(155.53 / G32) * 100</f>
        <v>93.749890513865338</v>
      </c>
      <c r="L32" s="4">
        <f>(269.84 / G32) * 100</f>
        <v>162.6533174066831</v>
      </c>
      <c r="M32" s="4">
        <f>((3600)/(H32*42.23))*100</f>
        <v>34.974120085541678</v>
      </c>
      <c r="N32" s="4">
        <f>((3600)/(I32*120))*100</f>
        <v>35.101895992276233</v>
      </c>
      <c r="O32" s="6">
        <f>N32/M32</f>
        <v>1.0036534416426213</v>
      </c>
      <c r="S32" s="4">
        <f>(X32/99)^0.7*(298/(C31+273.15))^1.2</f>
        <v>0.83802700070782132</v>
      </c>
      <c r="T32" s="4"/>
      <c r="U32" s="4">
        <f>0.61121*EXP((17.27*C31)/(C31+237.3))</f>
        <v>2.3398508441446699</v>
      </c>
      <c r="V32" s="4">
        <f>(E31/100)*U32</f>
        <v>0.70195525324340091</v>
      </c>
      <c r="W32" s="4">
        <f>101.3*(1-0.00002255*B31)^5.2559</f>
        <v>79.482247119261984</v>
      </c>
      <c r="X32" s="4">
        <f>W32-V32-D31</f>
        <v>74.780291866018587</v>
      </c>
      <c r="AD32" s="1"/>
      <c r="AE32" s="1"/>
      <c r="AF32" s="1"/>
    </row>
    <row r="33" spans="1:32" x14ac:dyDescent="0.3">
      <c r="A33" s="8">
        <v>30</v>
      </c>
      <c r="B33" s="7">
        <v>0</v>
      </c>
      <c r="C33" s="7">
        <v>20</v>
      </c>
      <c r="D33" s="7">
        <v>2</v>
      </c>
      <c r="E33" s="7">
        <v>30</v>
      </c>
      <c r="F33" s="4">
        <f xml:space="preserve"> MIN(320, 320 * S34)</f>
        <v>320</v>
      </c>
      <c r="G33" s="4">
        <f xml:space="preserve"> MIN(277, 277 * S34 * (1 - B33/10000))</f>
        <v>277</v>
      </c>
      <c r="H33" s="4">
        <f>227.33*(1+(1-S34)*0.5)</f>
        <v>225.39932890621964</v>
      </c>
      <c r="I33" s="4">
        <f>79.71*(1+(1-S34)*0.5)</f>
        <v>79.033037905752707</v>
      </c>
      <c r="J33" s="4">
        <f>(73.42 / G33) * 100</f>
        <v>26.505415162454877</v>
      </c>
      <c r="K33" s="4">
        <f>(155.53 / G33) * 100</f>
        <v>56.148014440433215</v>
      </c>
      <c r="L33" s="4">
        <f>(269.84 / G33) * 100</f>
        <v>97.415162454873638</v>
      </c>
      <c r="M33" s="4">
        <f>((3600)/(H33*42.23))*100</f>
        <v>37.820633641620148</v>
      </c>
      <c r="N33" s="4">
        <f>((3600)/(I33*120))*100</f>
        <v>37.958809119516765</v>
      </c>
      <c r="O33" s="6">
        <f>N33/M33</f>
        <v>1.0036534416426213</v>
      </c>
      <c r="S33" s="4">
        <f>(X33/99)^0.7*(298/(C32+273.15))^1.2</f>
        <v>0.85558979067560448</v>
      </c>
      <c r="T33" s="4"/>
      <c r="U33" s="4">
        <f>0.61121*EXP((17.27*C32)/(C32+237.3))</f>
        <v>0.28590276589740332</v>
      </c>
      <c r="V33" s="4">
        <f>(E32/100)*U33</f>
        <v>8.5770829769220999E-2</v>
      </c>
      <c r="W33" s="4">
        <f>101.3*(1-0.00002255*B32)^5.2559</f>
        <v>70.100252275343465</v>
      </c>
      <c r="X33" s="4">
        <f>W33-V33-D32</f>
        <v>64.014481445574248</v>
      </c>
      <c r="AD33" s="1"/>
      <c r="AE33" s="1"/>
      <c r="AF33" s="1"/>
    </row>
    <row r="34" spans="1:32" x14ac:dyDescent="0.3">
      <c r="J34" t="s">
        <v>0</v>
      </c>
      <c r="K34" t="s">
        <v>0</v>
      </c>
      <c r="L34" t="s">
        <v>0</v>
      </c>
      <c r="N34" s="5" t="s">
        <v>0</v>
      </c>
      <c r="S34" s="4">
        <f>(X34/99)^0.7*(298/(C33+273.15))^1.2</f>
        <v>1.016985625247705</v>
      </c>
      <c r="T34" s="4"/>
      <c r="U34" s="4">
        <f>0.61121*EXP((17.27*C33)/(C33+237.3))</f>
        <v>2.3398508441446699</v>
      </c>
      <c r="V34" s="4">
        <f>(E33/100)*U34</f>
        <v>0.70195525324340091</v>
      </c>
      <c r="W34" s="4">
        <f>101.3*(1-0.00002255*B33)^5.2559</f>
        <v>101.3</v>
      </c>
      <c r="X34" s="4">
        <f>W34-V34-D33</f>
        <v>98.598044746756599</v>
      </c>
      <c r="AD34" s="1"/>
      <c r="AE34" s="1"/>
      <c r="AF34" s="1"/>
    </row>
    <row r="35" spans="1:32" x14ac:dyDescent="0.3">
      <c r="G35" s="3"/>
      <c r="S35" t="s">
        <v>0</v>
      </c>
      <c r="AD35" s="1"/>
      <c r="AE35" s="1"/>
      <c r="AF35" s="1"/>
    </row>
    <row r="36" spans="1:32" x14ac:dyDescent="0.3">
      <c r="AD36" s="1"/>
      <c r="AE36" s="1"/>
      <c r="AF36" s="1"/>
    </row>
    <row r="38" spans="1:32" x14ac:dyDescent="0.3">
      <c r="J38" s="1">
        <f>AVERAGE(J4:J33)</f>
        <v>43.276538842329337</v>
      </c>
      <c r="K38" s="1">
        <f>AVERAGE(K4:K33)</f>
        <v>91.675294009091274</v>
      </c>
      <c r="L38" s="1">
        <f>AVERAGE(L4:L33)</f>
        <v>159.05395316281869</v>
      </c>
    </row>
    <row r="39" spans="1:32" x14ac:dyDescent="0.3">
      <c r="F39" s="2"/>
    </row>
    <row r="65" spans="9:9" x14ac:dyDescent="0.3">
      <c r="I65" s="1"/>
    </row>
    <row r="66" spans="9:9" x14ac:dyDescent="0.3">
      <c r="I66" s="1"/>
    </row>
  </sheetData>
  <conditionalFormatting sqref="J4:L33">
    <cfRule type="cellIs" dxfId="7" priority="4" operator="between">
      <formula>80</formula>
      <formula>105</formula>
    </cfRule>
    <cfRule type="cellIs" dxfId="6" priority="5" operator="greaterThan">
      <formula>105</formula>
    </cfRule>
    <cfRule type="cellIs" dxfId="5" priority="6" operator="between">
      <formula>"80.1"</formula>
      <formula>105</formula>
    </cfRule>
    <cfRule type="cellIs" dxfId="4" priority="7" operator="lessThan">
      <formula>80.1</formula>
    </cfRule>
    <cfRule type="cellIs" dxfId="3" priority="8" operator="greaterThan">
      <formula>100</formula>
    </cfRule>
  </conditionalFormatting>
  <conditionalFormatting sqref="M4:M33">
    <cfRule type="cellIs" dxfId="2" priority="1" operator="lessThan">
      <formula>N4</formula>
    </cfRule>
    <cfRule type="cellIs" dxfId="1" priority="3" operator="greaterThan">
      <formula>$N$4</formula>
    </cfRule>
  </conditionalFormatting>
  <conditionalFormatting sqref="N4:N33">
    <cfRule type="cellIs" dxfId="0" priority="2" operator="greaterThan">
      <formula>M4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ROCCO BERETTI</dc:creator>
  <cp:lastModifiedBy>ROCCO BERETTI</cp:lastModifiedBy>
  <dcterms:created xsi:type="dcterms:W3CDTF">2026-03-18T17:57:42Z</dcterms:created>
  <dcterms:modified xsi:type="dcterms:W3CDTF">2026-03-18T17:58:14Z</dcterms:modified>
</cp:coreProperties>
</file>