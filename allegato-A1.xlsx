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maurizio.beretti\Desktop\tirocinio\repository\"/>
    </mc:Choice>
  </mc:AlternateContent>
  <xr:revisionPtr revIDLastSave="0" documentId="13_ncr:1_{424D931B-1358-45FA-8D64-448E5B46B8BD}" xr6:coauthVersionLast="47" xr6:coauthVersionMax="47" xr10:uidLastSave="{00000000-0000-0000-0000-000000000000}"/>
  <bookViews>
    <workbookView xWindow="3000" yWindow="3000" windowWidth="17280" windowHeight="8880" activeTab="1" xr2:uid="{5E63F3C0-146E-4883-940C-633D4E81341E}"/>
  </bookViews>
  <sheets>
    <sheet name="DIESEL BASELINE." sheetId="1" r:id="rId1"/>
    <sheet name="H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 i="1" l="1"/>
  <c r="L10" i="1"/>
  <c r="C10" i="1"/>
  <c r="V10" i="2"/>
  <c r="L10" i="2"/>
  <c r="B10" i="2"/>
  <c r="Q12" i="2"/>
  <c r="AK11" i="2"/>
  <c r="AL10" i="2"/>
  <c r="AK10" i="2"/>
  <c r="AL11" i="2"/>
  <c r="AJ4" i="2"/>
  <c r="Z6" i="2"/>
  <c r="C11" i="1"/>
  <c r="C18" i="1"/>
  <c r="AC5" i="2"/>
  <c r="AC6" i="2"/>
  <c r="AC7" i="2"/>
  <c r="AC8" i="2"/>
  <c r="AC4" i="2"/>
  <c r="AB5" i="2"/>
  <c r="AB6" i="2"/>
  <c r="AB7" i="2"/>
  <c r="AB8" i="2"/>
  <c r="AB4" i="2"/>
  <c r="G4" i="1"/>
  <c r="H4" i="1"/>
  <c r="AJ5" i="2"/>
  <c r="H4" i="2"/>
  <c r="F4" i="2"/>
  <c r="Y4" i="1"/>
  <c r="Y8" i="1"/>
  <c r="Y7" i="1"/>
  <c r="Y6" i="1"/>
  <c r="Z6" i="1" s="1"/>
  <c r="Y5" i="1"/>
  <c r="Z5" i="1" s="1"/>
  <c r="Z4" i="1"/>
  <c r="P5" i="1"/>
  <c r="P6" i="1"/>
  <c r="P7" i="1"/>
  <c r="P8" i="1"/>
  <c r="P4" i="1"/>
  <c r="G5" i="1"/>
  <c r="G6" i="1"/>
  <c r="G7" i="1"/>
  <c r="G8" i="1"/>
  <c r="W5" i="1"/>
  <c r="W6" i="1"/>
  <c r="W7" i="1"/>
  <c r="W8" i="1"/>
  <c r="W4" i="1"/>
  <c r="N5" i="1"/>
  <c r="N6" i="1"/>
  <c r="N7" i="1"/>
  <c r="N8" i="1"/>
  <c r="N4" i="1"/>
  <c r="E5" i="1"/>
  <c r="E6" i="1"/>
  <c r="E7" i="1"/>
  <c r="E8" i="1"/>
  <c r="E4" i="1"/>
  <c r="O6" i="2"/>
  <c r="P6" i="2"/>
  <c r="R6" i="2"/>
  <c r="M5" i="2"/>
  <c r="O5" i="2" s="1"/>
  <c r="M6" i="2"/>
  <c r="M7" i="2"/>
  <c r="M8" i="2"/>
  <c r="M4" i="2"/>
  <c r="O4" i="2" s="1"/>
  <c r="C6" i="2"/>
  <c r="O7" i="2"/>
  <c r="C4" i="2"/>
  <c r="E4" i="2" s="1"/>
  <c r="G12" i="2"/>
  <c r="F6" i="2"/>
  <c r="H5" i="2"/>
  <c r="C7" i="2"/>
  <c r="C8" i="2"/>
  <c r="E8" i="2" s="1"/>
  <c r="C5" i="2"/>
  <c r="E5" i="2" s="1"/>
  <c r="O8" i="2"/>
  <c r="AL8" i="2"/>
  <c r="AL5" i="2"/>
  <c r="AK8" i="2"/>
  <c r="AK5" i="2"/>
  <c r="AJ11" i="2"/>
  <c r="AJ8" i="2"/>
  <c r="Z4" i="2"/>
  <c r="Z8" i="2"/>
  <c r="Z7" i="2"/>
  <c r="B18" i="2" s="1"/>
  <c r="Z5" i="2"/>
  <c r="P8" i="2"/>
  <c r="P7" i="2"/>
  <c r="P5" i="2"/>
  <c r="R5" i="2" s="1"/>
  <c r="P4" i="2"/>
  <c r="R4" i="2" s="1"/>
  <c r="F5" i="2"/>
  <c r="H6" i="2"/>
  <c r="F7" i="2"/>
  <c r="H7" i="2" s="1"/>
  <c r="F8" i="2"/>
  <c r="H8" i="2" s="1"/>
  <c r="E6" i="2"/>
  <c r="E7" i="2"/>
  <c r="R8" i="2"/>
  <c r="Q4" i="1"/>
  <c r="L11" i="1" s="1"/>
  <c r="L12" i="1" s="1"/>
  <c r="Z8" i="1"/>
  <c r="Z7" i="1"/>
  <c r="Q8" i="1"/>
  <c r="Q5" i="1"/>
  <c r="Q6" i="1"/>
  <c r="Q7" i="1"/>
  <c r="H7" i="1"/>
  <c r="H8" i="1"/>
  <c r="H5" i="1"/>
  <c r="H6" i="1"/>
  <c r="AD7" i="2" l="1"/>
  <c r="C12" i="1"/>
  <c r="AL12" i="2"/>
  <c r="AK12" i="2"/>
  <c r="AK9" i="2"/>
  <c r="AL9" i="2"/>
  <c r="B11" i="2"/>
  <c r="B12" i="2" s="1"/>
  <c r="U11" i="1"/>
  <c r="U12" i="1" s="1"/>
  <c r="AL6" i="2"/>
  <c r="AK6" i="2"/>
  <c r="R7" i="2"/>
  <c r="L11" i="2" s="1"/>
  <c r="L12" i="2" l="1"/>
  <c r="AD4" i="2"/>
  <c r="W4" i="2"/>
  <c r="Y4" i="2"/>
  <c r="W5" i="2"/>
  <c r="Y5" i="2" s="1"/>
  <c r="AD5" i="2"/>
  <c r="W7" i="2"/>
  <c r="Y7" i="2" s="1"/>
  <c r="AD6" i="2"/>
  <c r="W6" i="2"/>
  <c r="Y6" i="2" s="1"/>
  <c r="AD8" i="2"/>
  <c r="W8" i="2"/>
  <c r="Y8" i="2" s="1"/>
  <c r="AA12" i="2"/>
  <c r="V11" i="2" l="1"/>
  <c r="V12"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tc={7C80F6DA-D240-4454-8C18-86D43FFA81ED}</author>
    <author>tc={2C7750BF-3268-4015-9A67-A4831B343CCF}</author>
    <author>tc={0FD68CBE-3418-4A41-B485-9608B9BF0683}</author>
    <author>tc={4ED2A585-B633-4D7F-9E51-DDDD8ED40AFD}</author>
    <author>tc={43DB939D-9FFE-4268-ABB9-91A329AA2467}</author>
    <author>tc={E6239AE8-FEDA-415A-B552-4C8BEC02221B}</author>
  </authors>
  <commentList>
    <comment ref="I10" authorId="0" shapeId="0" xr:uid="{7C80F6DA-D240-4454-8C18-86D43FFA81ED}">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La proposta è composta come: idle 20% (A1), accelerazioni 40% (A2-A3), picco 15% (A4), rilascio 25% (A5). Questo ciclo, molto probabilmente, penalizzerà il DIESEL (meno efficiente a basso carico e sui transitori) e mette alla prova la risposta ai transitori di H2</t>
      </text>
    </comment>
    <comment ref="R10" authorId="1" shapeId="0" xr:uid="{2C7750BF-3268-4015-9A67-A4831B343CCF}">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La proposta è composta come: idle/manovra 10% (B1), cruise medio 55% (B2-B3), cruise veloce/high speed 25% (B4), coasting 10% (B5). Questo ciclo dovrebbe far si che i motori lavorino maggiormente nella propria isola di massima efficienza, dovrebbero giocarsela alla pari.</t>
      </text>
    </comment>
    <comment ref="AA10" authorId="2" shapeId="0" xr:uid="{0FD68CBE-3418-4A41-B485-9608B9BF0683}">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La proposta è composta come: idle/manovra 5% (C1), salita/fase pesante 25% (C2), salita hard/fase molto pesante 35% (C3), picco 25% (C4), rilascio 10% (C5). Questo ciclo (i riferimenti alle salite sono fatti con in mente un ambiente minerario) è composto in modo tale da mostrare perfettamente i pregi a pieno carico del DIESEL e mostrare i limiti tecnologici (knock, derating, prefire) del H2-PFI, ovvero ad iniezione indiretta (port-fuel injection)</t>
      </text>
    </comment>
    <comment ref="C11" authorId="3" shapeId="0" xr:uid="{4ED2A585-B633-4D7F-9E51-DDDD8ED40AFD}">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Il risultato è in kg, tuttavia essendo che il diesel viene venduto al litro dividiamo per la densita, ovvero 0,835
</t>
      </text>
    </comment>
    <comment ref="B14" authorId="4" shapeId="0" xr:uid="{43DB939D-9FFE-4268-ABB9-91A329AA2467}">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I dati sulla coppia puntuale T(n) sono ricavati da una mappa motore (allegata). La coppia è espressa come frazione di Tmax, ottenuta moltiplicando Tmx per un fattore tau (coppia relativa).I profili di carico (duty cycle) (e i relativi dati intrinsechi, quindi i punti RPM e la coppia relativa TAU) sono stati costruiti sintetizzando dati di letteratura </t>
      </text>
    </comment>
    <comment ref="B16" authorId="5" shapeId="0" xr:uid="{E6239AE8-FEDA-415A-B552-4C8BEC02221B}">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I dati sui consumi puntuali (espressi in termini di BSFC, brake specific fuel consumption, sono ottenuti dall’altro grafico allegato che presenta le curve (colorate) di BSFC. I motori selezionati sono un VOLVO  D13 435/1650 (usato per il primo grafico, ottimo perché ha geometria e potenza simile al motore H2 scelto), e un IVECO S-WAY A5440549T/P, molto simile anche questo (praticamente identico, geometricamente parlando), dei quali sono disponibili i dati BSFC (non l’ho usato per il tetto del grafico n-T perché leggermente diverso e disponibile solo per un range operativo ristretto rispetto a quello necessitato da questa analisi
Rispondi:
Nb: per i punti BSFCi che rappresentano l’idle (ovvero  motore al minimo in attesa) oppure la fase di manovra leggera, prendiamo un valore di circa 450/500 g/kWh, sebbene non siano graficati. Questo perché, in questo stato, tutta l’energia prodotta serve solo a vincere gli attriti interni del motore e a far funzionare gli accessori (pompe, ventole, compressori, etc..) lasciando pochissima energia utile all’albero. Tipicamente un motore di queste dimensioni consuma fra 1,5 e 2,5 kg/h di carburante se al minimo (idle, appunto). E poco di più (generalmente sotto I 5 kg/h) per le fasi di manovra.
Rispondi:
Nb: i dati sono approssimati graficamente, non identificati sperimentalmente a banco, quindi va presa come analisi qualitativa.
Rispondi:
Nb: per i punti fuori scala (C2,C3) ho usato il concetto di coppia relativa: in corrispondenza di n-i ho guardato sul grafico quanto fosse Tmax e ho calcolato T(n) usando lo stesso tau. L’approssimazione è più che accettabile. Questi due punti sono fuori scala perché l’IVECO è leggermente meno potente del VOLVO (che invece è potente quanto il motore H2, AVL)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tc={4D2A8BC7-BBDD-4879-9917-87784B5F5C2C}</author>
    <author>tc={0B1240F3-2B37-4D48-B7A7-3F445FA71C84}</author>
    <author>tc={AE90F501-81E0-4F03-BE92-F7C0C27D5352}</author>
    <author>tc={AECC0329-8133-4EF1-9B3D-5734A405FD46}</author>
    <author>tc={4220CF8B-F761-4172-9688-D1A6982AE251}</author>
    <author>tc={F0EC7EE6-1984-4DA7-BE5E-A3B87538EEA7}</author>
    <author>tc={EF9BCC18-8458-4669-8BA9-C6E6A6C58484}</author>
    <author>tc={55C59597-4D80-4DC2-816B-77E857D324BA}</author>
  </authors>
  <commentList>
    <comment ref="Y6" authorId="0" shapeId="0" xr:uid="{4D2A8BC7-BBDD-4879-9917-87784B5F5C2C}">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L'analisi del punto operativo C3 mostra che il motore H2 PFI lavora in condizioni di saturazione del carico (BMEP al limite della mappa operativa). Questo suggerisce che per mantenere le prestazioni dinamiche del Diesel in ambito minerario gravoso, la tecnologia PFI potrebbe essere sottodimensionata, rendendo necessaria la transizione verso l'iniezione diretta ad alta pressione (HPDI) o un aumento di cilindrata.</t>
      </text>
    </comment>
    <comment ref="I10" authorId="1" shapeId="0" xr:uid="{0B1240F3-2B37-4D48-B7A7-3F445FA71C84}">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La proposta è composta come: idle 20% (A1), accelerazioni 40% (A2-A3), picco 15% (A4), rilascio 25% (A5). Questo ciclo, molto probabilmente, penalizzerà il DIESEL (meno efficiente a basso carico e sui transitori) e mette alla prova la risposta ai transitori di H2</t>
      </text>
    </comment>
    <comment ref="S10" authorId="2" shapeId="0" xr:uid="{AE90F501-81E0-4F03-BE92-F7C0C27D5352}">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La proposta è composta come: idle/manovra 10% (B1), cruise medio 55% (B2-B3), cruise veloce/high speed 25% (B4), coasting 10% (B5). Questo ciclo dovrebbe far si che i motori lavorino maggiormente nella propria isola di massima efficienza, dovrebbero giocarsela alla pari.</t>
      </text>
    </comment>
    <comment ref="AE10" authorId="3" shapeId="0" xr:uid="{AECC0329-8133-4EF1-9B3D-5734A405FD46}">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La proposta è composta come: idle/manovra 5% (C1), salita/fase pesante 25% (C2), salita hard/fase molto pesante 35% (C3), picco 25% (C4), rilascio 10% (C5). Questo ciclo (i riferimenti alle salite sono fatti con in mente un ambiente minerario) è composto in modo tale da mostrare perfettamente i pregi a pieno carico del DIESEL e mostrare i limiti tecnologici (knock, derating, prefire) del H2-PFI, ovvero ad iniezione indiretta (port-fuel injection)</t>
      </text>
    </comment>
    <comment ref="V13" authorId="4" shapeId="0" xr:uid="{4220CF8B-F761-4172-9688-D1A6982AE251}">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Facciamo un rapporto fra i litri di gasolio necessari per il ciclo C (mining) ed i kili di h2: 60,99/18,97= 3,22. In letteratura notiamo che generalmente è indicato come 1kg di H2 sostituisca circa 3,3 litri di gasolio. Questo rapporto particolarmente positivo è derivato dal fatto che il modello Diesel consuma in modo “realistico”, mentre l motore H2 è un prototipo ottimizzato, e i dati presentati sono dati di banco.</t>
      </text>
    </comment>
    <comment ref="A15" authorId="5" shapeId="0" xr:uid="{F0EC7EE6-1984-4DA7-BE5E-A3B87538EEA7}">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Per l’idrogeno ho proceduto copiando la potenza richiesta al Diesel. Sto, infatti, facendo un cosiddetto “benchmark a parità di missione”, in cui il diesel è la mia “baseline”, un motore realmente utilizzato con risultati conosciuti e appurati, quindi il mio obiettivo è verificare SE il motore idrogeno è in grado di lavorare allo stesso regime e, se si, come.
</t>
      </text>
    </comment>
    <comment ref="AI18" authorId="6" shapeId="0" xr:uid="{EF9BCC18-8458-4669-8BA9-C6E6A6C58484}">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I costi sono basati su diverse ricerche di stampo economico che mirano a prevedere l’evoluzione dei costi nella produzione, stoccaggio e trasporto dell’idrogeno (verde) in Europa (Germania principalmente) e Cina orientale. tutte raggiungono conclusioni estremamente simili, i numeri qui presentati sono basati in particolar modo su Reuss et al. (2019), che indica un “floor” di ottimizzazione attorno ai 6€, mentre un tetto di circa 8-9€. Come valore attuale uso 10€ in quanto stima prudativa che riflette l’attuale assenza di economie di scala nel settore, mancanza di infrastrutture e tecnologie non ottimizzate. Si possono trovare anche stime che parlano potenzialmente di scenari in cui l’GH2 potrebbe arrivare anche a 4€ al kilo, tuttavia è difficile prevedere quanto le infrastrutture e le tecnologie possano migliorare nel giro di 15-20 anni, e dipenderà in gran modo anche dall’appoggio legislativo, come visto in precedenza con la diffusione dell’elettrico.
Rispondi:
Il prezzo del diesel 
è preso considerando il costo all’ingrosso del diesel in italia contenuto nel “weekly oil bulletin” della commisione europea, datato 15/01/2026, di 688,34 euro per 1000 litri e sommato alle accise, 672,6 euro per 1000 litri. In totale viene circa 1,36 euro al litro (iva esclusa), prendiamo 1,5 come in via prudenziale, per sopperire eventuali fluttuazioni di mercato 
</t>
      </text>
    </comment>
    <comment ref="AJ18" authorId="7" shapeId="0" xr:uid="{55C59597-4D80-4DC2-816B-77E857D324BA}">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Notiamo che attualmente i costi operativi orari (OPEX) di un ciclo idrogeno raddoppiano quelli dello stesso ciclo alimentato a diesel. Questo gap, tuttavia si riduce sensibilmente se consideriamo il costo di approvvigionamento dell’H2 previsto negli obiettivi ambientali dell’EU per il 2030, di 6€/kg. In questo caso il gap si aggira fra il 20% ed il 25.
 Possiamo facilmente calcolare il break-even point. prendiamo l’esempio del ciclo C (mining): costo orario del diesel 91,49€/h; consumo H2 orario 18,97 kg/h. quindi il prezzo di break even dell’idrogeno sarebbe (91,49/18,97)=4,823.
 Questo è circa il 24% in meno del target EU 2030, ma in linea con altri studi di fattibilità che prevedono il breakeven dell’idrogeno attorno ai 4€/kg, (Basma H., Zhou Y. et al, 2022; Sens L., Neuling U. et al. 2022).
Questo gap, comunque, può essere sanato anche burocraticamente dalle istituzioni nazionali e sovranazionali, con incentivi, carbon tax, detrazioni, etc.
Un problema nascosto legato all’idrogeno (che verrà discusso separatamente) sta invece nello stoccaggio. Immaginiamoci, infatti, un turno di lavoro da 8h nel ciclo mining ( C): il gasolio necessario sarebbe 61*8=490 litri, che starebbe comodamente in mezzo metro cubo. L’idrogeno necessario, invece, sarebbe 18,97*8=152kg. L’idrogeno ad alta pressione (350 bar) ha una densità di circa 24kg/mc, quindi per stoccare 152kg di idrogeno servirebbero &gt;6mc di serbatoio (o proprio, sul camion, o esterno, ma questo vuol dire che oltre ai miei mezzi di lavoro dovrei prevedere anche la presenza di mobile fuelers (una camionetta di rifornimento)). Questo, chiaramente, presenta un grande limite dell’idrogeno in applicazioni civili e come carburante per il trasporto su gomma a medio-lungo raggio. In generale l’idrogeno occupa 10-12 volte il volume del diesel.</t>
      </text>
    </comment>
  </commentList>
</comments>
</file>

<file path=xl/sharedStrings.xml><?xml version="1.0" encoding="utf-8"?>
<sst xmlns="http://schemas.openxmlformats.org/spreadsheetml/2006/main" count="148" uniqueCount="64">
  <si>
    <t>Ai</t>
  </si>
  <si>
    <t>n  [RPM]</t>
  </si>
  <si>
    <t>T(n)  [Nm]</t>
  </si>
  <si>
    <t>BMEP  [Bar]</t>
  </si>
  <si>
    <t>BSFCi  [g/kWh]</t>
  </si>
  <si>
    <t>Pi [kW]</t>
  </si>
  <si>
    <t>mi  [kg/h]</t>
  </si>
  <si>
    <t>share temporale</t>
  </si>
  <si>
    <t>Bi</t>
  </si>
  <si>
    <t>Ci</t>
  </si>
  <si>
    <t>share</t>
  </si>
  <si>
    <t>A1</t>
  </si>
  <si>
    <t>B1</t>
  </si>
  <si>
    <t>C1</t>
  </si>
  <si>
    <t>A2</t>
  </si>
  <si>
    <t>B2</t>
  </si>
  <si>
    <t>C2</t>
  </si>
  <si>
    <t>A3</t>
  </si>
  <si>
    <t>B3</t>
  </si>
  <si>
    <t>C3</t>
  </si>
  <si>
    <t>A4</t>
  </si>
  <si>
    <t>B4</t>
  </si>
  <si>
    <t>C4</t>
  </si>
  <si>
    <t>A5</t>
  </si>
  <si>
    <t>B5</t>
  </si>
  <si>
    <t>C5</t>
  </si>
  <si>
    <t>eta-A</t>
  </si>
  <si>
    <t>commento share</t>
  </si>
  <si>
    <t>eta-B</t>
  </si>
  <si>
    <t>eta-C</t>
  </si>
  <si>
    <t>consumo medio [L/h]</t>
  </si>
  <si>
    <t>consumo medio [MJ/h]</t>
  </si>
  <si>
    <t>COMMENTO 1</t>
  </si>
  <si>
    <t>COMMENTO 2</t>
  </si>
  <si>
    <t>BET%i</t>
  </si>
  <si>
    <t>BMEPi [Bar]</t>
  </si>
  <si>
    <t>A</t>
  </si>
  <si>
    <t>VOCE</t>
  </si>
  <si>
    <t>DIESEL baseline</t>
  </si>
  <si>
    <t>IDROGENO OGGI</t>
  </si>
  <si>
    <t>IDROGENO 2030+</t>
  </si>
  <si>
    <t>CONSUMO ORARIO</t>
  </si>
  <si>
    <t>COSTO ORARIO [€/h]</t>
  </si>
  <si>
    <t>DIFFERENZA DI COSTO</t>
  </si>
  <si>
    <t>-</t>
  </si>
  <si>
    <t>B</t>
  </si>
  <si>
    <t>C</t>
  </si>
  <si>
    <t>consumo  medio [kg/h]</t>
  </si>
  <si>
    <t>commento</t>
  </si>
  <si>
    <t xml:space="preserve">costo idrogeno oggi </t>
  </si>
  <si>
    <t>€/kg</t>
  </si>
  <si>
    <t>costo diesel (indust.)</t>
  </si>
  <si>
    <t>€/lt</t>
  </si>
  <si>
    <t>COMMENTO COSTI</t>
  </si>
  <si>
    <t>conclusioni costi</t>
  </si>
  <si>
    <t>g/kWh</t>
  </si>
  <si>
    <t>P erogata</t>
  </si>
  <si>
    <t>saturazione</t>
  </si>
  <si>
    <t>media BSFC sui 3 cicli</t>
  </si>
  <si>
    <t>(esclusi punti di idle)</t>
  </si>
  <si>
    <t>CICLO</t>
  </si>
  <si>
    <t>costo idrogeno 2030+</t>
  </si>
  <si>
    <t>Avg. Cycle Preq</t>
  </si>
  <si>
    <t>consumo  medio [MJ/h]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</si>
</sst>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sz val="11"/>
      <color theme="1"/>
      <name val="Aptos Narrow"/>
      <family val="2"/>
    </font>
    <font>
      <b/>
      <sz val="11"/>
      <color theme="1"/>
      <name val="Aptos Narrow"/>
      <family val="2"/>
      <scheme val="minor"/>
    </font>
    <font>
      <u/>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7">
    <xf numFmtId="0" fontId="0" fillId="0" borderId="0" xfId="0"/>
    <xf numFmtId="0" fontId="0" fillId="0" borderId="1" xfId="0" applyBorder="1"/>
    <xf numFmtId="0" fontId="0" fillId="0" borderId="2" xfId="0" applyBorder="1"/>
    <xf numFmtId="0" fontId="0" fillId="3" borderId="0" xfId="0" applyFill="1"/>
    <xf numFmtId="2" fontId="0" fillId="0" borderId="1" xfId="0" applyNumberFormat="1" applyBorder="1"/>
    <xf numFmtId="2" fontId="0" fillId="0" borderId="0" xfId="0" applyNumberFormat="1"/>
    <xf numFmtId="0" fontId="0" fillId="0" borderId="0" xfId="0" applyAlignment="1">
      <alignment horizontal="center"/>
    </xf>
    <xf numFmtId="0" fontId="0" fillId="2" borderId="0" xfId="0" applyFill="1"/>
    <xf numFmtId="0" fontId="2" fillId="0" borderId="0" xfId="0" applyFont="1"/>
    <xf numFmtId="9" fontId="0" fillId="0" borderId="0" xfId="1" applyFont="1"/>
    <xf numFmtId="9" fontId="0" fillId="0" borderId="1" xfId="1" applyFont="1" applyBorder="1"/>
    <xf numFmtId="0" fontId="4" fillId="0" borderId="0" xfId="0" applyFont="1"/>
    <xf numFmtId="0" fontId="3" fillId="0" borderId="0" xfId="0" applyFont="1"/>
    <xf numFmtId="0" fontId="0" fillId="0" borderId="2" xfId="0" applyBorder="1" applyAlignment="1">
      <alignment horizontal="center"/>
    </xf>
    <xf numFmtId="0" fontId="0" fillId="0" borderId="4" xfId="0" applyBorder="1"/>
    <xf numFmtId="2" fontId="0" fillId="0" borderId="4" xfId="0" applyNumberFormat="1" applyBorder="1"/>
    <xf numFmtId="9" fontId="0" fillId="0" borderId="4" xfId="1" applyFont="1" applyBorder="1"/>
    <xf numFmtId="0" fontId="3" fillId="0" borderId="6" xfId="0" applyFont="1" applyBorder="1" applyAlignment="1">
      <alignment horizontal="center"/>
    </xf>
    <xf numFmtId="0" fontId="3" fillId="0" borderId="5" xfId="0" applyFont="1" applyBorder="1" applyAlignment="1">
      <alignment horizontal="center"/>
    </xf>
    <xf numFmtId="0" fontId="3" fillId="0" borderId="7" xfId="0" applyFont="1" applyBorder="1" applyAlignment="1">
      <alignment horizontal="center"/>
    </xf>
    <xf numFmtId="2" fontId="0" fillId="0" borderId="3" xfId="0" applyNumberFormat="1" applyBorder="1"/>
    <xf numFmtId="0" fontId="0" fillId="0" borderId="0" xfId="0" applyAlignment="1">
      <alignment horizontal="center"/>
    </xf>
    <xf numFmtId="0" fontId="0" fillId="2" borderId="0" xfId="0" applyFill="1" applyAlignment="1">
      <alignment horizontal="center"/>
    </xf>
    <xf numFmtId="2" fontId="0" fillId="0" borderId="3" xfId="0" applyNumberFormat="1" applyBorder="1" applyAlignment="1">
      <alignment horizontal="center"/>
    </xf>
    <xf numFmtId="2" fontId="0" fillId="0" borderId="0" xfId="0" applyNumberFormat="1" applyAlignment="1">
      <alignment horizontal="center"/>
    </xf>
    <xf numFmtId="10" fontId="0" fillId="0" borderId="3" xfId="1" applyNumberFormat="1" applyFont="1" applyBorder="1" applyAlignment="1">
      <alignment horizontal="center"/>
    </xf>
    <xf numFmtId="10" fontId="0" fillId="0" borderId="0" xfId="1" applyNumberFormat="1" applyFont="1" applyAlignment="1">
      <alignment horizontal="center"/>
    </xf>
  </cellXfs>
  <cellStyles count="2">
    <cellStyle name="Normale" xfId="0" builtinId="0"/>
    <cellStyle name="Percentuale" xfId="1"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ROCCO BERETTI" id="{A7679A35-1C53-48D6-8D0F-B7861C7721C5}" userId="S::319848@unimore.it::acecd732-d977-4522-95b4-14a2e52da08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F1DFDE-81F2-42AA-9CA7-2F3FE1AE3A8E}" name="Table1" displayName="Table1" ref="AI3:AL12" totalsRowShown="0">
  <autoFilter ref="AI3:AL12" xr:uid="{5CF1DFDE-81F2-42AA-9CA7-2F3FE1AE3A8E}"/>
  <tableColumns count="4">
    <tableColumn id="1" xr3:uid="{9ED08072-B77B-489B-B19F-742B91B36FE7}" name="VOCE"/>
    <tableColumn id="2" xr3:uid="{B94DEE57-B975-467D-A218-49B253FFEBE1}" name="DIESEL baseline"/>
    <tableColumn id="3" xr3:uid="{1436FD5B-AB0C-4EDC-8325-C8BCAAC98968}" name="IDROGENO OGGI"/>
    <tableColumn id="4" xr3:uid="{648752F8-2C2C-43DF-AE84-91A549A84421}" name="IDROGENO 203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I10" dT="2026-01-23T15:20:22.98" personId="{A7679A35-1C53-48D6-8D0F-B7861C7721C5}" id="{7C80F6DA-D240-4454-8C18-86D43FFA81ED}">
    <text>La proposta è composta come: idle 20% (A1), accelerazioni 40% (A2-A3), picco 15% (A4), rilascio 25% (A5). Questo ciclo, molto probabilmente, penalizzerà il DIESEL (meno efficiente a basso carico e sui transitori) e mette alla prova la risposta ai transitori di H2</text>
  </threadedComment>
  <threadedComment ref="R10" dT="2026-01-23T15:22:00.03" personId="{A7679A35-1C53-48D6-8D0F-B7861C7721C5}" id="{2C7750BF-3268-4015-9A67-A4831B343CCF}">
    <text>La proposta è composta come: idle/manovra 10% (B1), cruise medio 55% (B2-B3), cruise veloce/high speed 25% (B4), coasting 10% (B5). Questo ciclo dovrebbe far si che i motori lavorino maggiormente nella propria isola di massima efficienza, dovrebbero giocarsela alla pari.</text>
  </threadedComment>
  <threadedComment ref="AA10" dT="2026-01-23T15:26:12.41" personId="{A7679A35-1C53-48D6-8D0F-B7861C7721C5}" id="{0FD68CBE-3418-4A41-B485-9608B9BF0683}">
    <text>La proposta è composta come: idle/manovra 5% (C1), salita/fase pesante 25% (C2), salita hard/fase molto pesante 35% (C3), picco 25% (C4), rilascio 10% (C5). Questo ciclo (i riferimenti alle salite sono fatti con in mente un ambiente minerario) è composto in modo tale da mostrare perfettamente i pregi a pieno carico del DIESEL e mostrare i limiti tecnologici (knock, derating, prefire) del H2-PFI, ovvero ad iniezione indiretta (port-fuel injection)</text>
  </threadedComment>
  <threadedComment ref="C11" dT="2026-01-26T11:39:51.97" personId="{A7679A35-1C53-48D6-8D0F-B7861C7721C5}" id="{4ED2A585-B633-4D7F-9E51-DDDD8ED40AFD}">
    <text xml:space="preserve">Il risultato è in kg, tuttavia essendo che il diesel viene venduto al litro dividiamo per la densita, ovvero 0,835
</text>
  </threadedComment>
  <threadedComment ref="B14" dT="2026-01-23T14:28:03.60" personId="{A7679A35-1C53-48D6-8D0F-B7861C7721C5}" id="{43DB939D-9FFE-4268-ABB9-91A329AA2467}">
    <text xml:space="preserve">I dati sulla coppia puntuale T(n) sono ricavati da una mappa motore (allegata). La coppia è espressa come frazione di Tmax, ottenuta moltiplicando Tmx per un fattore tau (coppia relativa).I profili di carico (duty cycle) (e i relativi dati intrinsechi, quindi i punti RPM e la coppia relativa TAU) sono stati costruiti sintetizzando dati di letteratura </text>
  </threadedComment>
  <threadedComment ref="B16" dT="2026-01-23T14:39:04.45" personId="{A7679A35-1C53-48D6-8D0F-B7861C7721C5}" id="{E6239AE8-FEDA-415A-B552-4C8BEC02221B}">
    <text>I dati sui consumi puntuali (espressi in termini di BSFC, brake specific fuel consumption, sono ottenuti dall’altro grafico allegato che presenta le curve (colorate) di BSFC. I motori selezionati sono un VOLVO  D13 435/1650 (usato per il primo grafico, ottimo perché ha geometria e potenza simile al motore H2 scelto), e un IVECO S-WAY A5440549T/P, molto simile anche questo (praticamente identico, geometricamente parlando), dei quali sono disponibili i dati BSFC (non l’ho usato per il tetto del grafico n-T perché leggermente diverso e disponibile solo per un range operativo ristretto rispetto a quello necessitato da questa analisi</text>
  </threadedComment>
  <threadedComment ref="B16" dT="2026-01-23T14:40:45.78" personId="{A7679A35-1C53-48D6-8D0F-B7861C7721C5}" id="{0208A76D-CD76-42F8-899A-DE2EDAB138C7}" parentId="{E6239AE8-FEDA-415A-B552-4C8BEC02221B}">
    <text>Nb: per i punti BSFCi che rappresentano l’idle (ovvero  motore al minimo in attesa) oppure la fase di manovra leggera, prendiamo un valore di circa 450/500 g/kWh, sebbene non siano graficati. Questo perché, in questo stato, tutta l’energia prodotta serve solo a vincere gli attriti interni del motore e a far funzionare gli accessori (pompe, ventole, compressori, etc..) lasciando pochissima energia utile all’albero. Tipicamente un motore di queste dimensioni consuma fra 1,5 e 2,5 kg/h di carburante se al minimo (idle, appunto). E poco di più (generalmente sotto I 5 kg/h) per le fasi di manovra.</text>
  </threadedComment>
  <threadedComment ref="B16" dT="2026-01-23T14:42:12.26" personId="{A7679A35-1C53-48D6-8D0F-B7861C7721C5}" id="{9F738831-625F-4BCC-B8DF-8AEE56B5D316}" parentId="{E6239AE8-FEDA-415A-B552-4C8BEC02221B}">
    <text>Nb: i dati sono approssimati graficamente, non identificati sperimentalmente a banco, quindi va presa come analisi qualitativa.</text>
  </threadedComment>
  <threadedComment ref="B16" dT="2026-01-23T14:58:57.67" personId="{A7679A35-1C53-48D6-8D0F-B7861C7721C5}" id="{B37355AC-78CC-4660-8729-252FE27BF3E9}" parentId="{E6239AE8-FEDA-415A-B552-4C8BEC02221B}">
    <text>Nb: per i punti fuori scala (C2,C3) ho usato il concetto di coppia relativa: in corrispondenza di n-i ho guardato sul grafico quanto fosse Tmax e ho calcolato T(n) usando lo stesso tau. L’approssimazione è più che accettabile. Questi due punti sono fuori scala perché l’IVECO è leggermente meno potente del VOLVO (che invece è potente quanto il motore H2, AVL)</text>
  </threadedComment>
</ThreadedComments>
</file>

<file path=xl/threadedComments/threadedComment2.xml><?xml version="1.0" encoding="utf-8"?>
<ThreadedComments xmlns="http://schemas.microsoft.com/office/spreadsheetml/2018/threadedcomments" xmlns:x="http://schemas.openxmlformats.org/spreadsheetml/2006/main">
  <threadedComment ref="Y6" dT="2026-01-26T17:24:43.92" personId="{A7679A35-1C53-48D6-8D0F-B7861C7721C5}" id="{4D2A8BC7-BBDD-4879-9917-87784B5F5C2C}">
    <text>L'analisi del punto operativo C3 mostra che il motore H2 PFI lavora in condizioni di saturazione del carico (BMEP al limite della mappa operativa). Questo suggerisce che per mantenere le prestazioni dinamiche del Diesel in ambito minerario gravoso, la tecnologia PFI potrebbe essere sottodimensionata, rendendo necessaria la transizione verso l'iniezione diretta ad alta pressione (HPDI) o un aumento di cilindrata.</text>
  </threadedComment>
  <threadedComment ref="I10" dT="2026-01-23T15:20:22.98" personId="{A7679A35-1C53-48D6-8D0F-B7861C7721C5}" id="{0B1240F3-2B37-4D48-B7A7-3F445FA71C84}">
    <text>La proposta è composta come: idle 20% (A1), accelerazioni 40% (A2-A3), picco 15% (A4), rilascio 25% (A5). Questo ciclo, molto probabilmente, penalizzerà il DIESEL (meno efficiente a basso carico e sui transitori) e mette alla prova la risposta ai transitori di H2</text>
  </threadedComment>
  <threadedComment ref="S10" dT="2026-01-23T15:22:00.03" personId="{A7679A35-1C53-48D6-8D0F-B7861C7721C5}" id="{AE90F501-81E0-4F03-BE92-F7C0C27D5352}">
    <text>La proposta è composta come: idle/manovra 10% (B1), cruise medio 55% (B2-B3), cruise veloce/high speed 25% (B4), coasting 10% (B5). Questo ciclo dovrebbe far si che i motori lavorino maggiormente nella propria isola di massima efficienza, dovrebbero giocarsela alla pari.</text>
  </threadedComment>
  <threadedComment ref="AE10" dT="2026-01-23T15:26:12.41" personId="{A7679A35-1C53-48D6-8D0F-B7861C7721C5}" id="{AECC0329-8133-4EF1-9B3D-5734A405FD46}">
    <text>La proposta è composta come: idle/manovra 5% (C1), salita/fase pesante 25% (C2), salita hard/fase molto pesante 35% (C3), picco 25% (C4), rilascio 10% (C5). Questo ciclo (i riferimenti alle salite sono fatti con in mente un ambiente minerario) è composto in modo tale da mostrare perfettamente i pregi a pieno carico del DIESEL e mostrare i limiti tecnologici (knock, derating, prefire) del H2-PFI, ovvero ad iniezione indiretta (port-fuel injection)</text>
  </threadedComment>
  <threadedComment ref="V13" dT="2026-01-26T12:01:17.98" personId="{A7679A35-1C53-48D6-8D0F-B7861C7721C5}" id="{4220CF8B-F761-4172-9688-D1A6982AE251}">
    <text>Facciamo un rapporto fra i litri di gasolio necessari per il ciclo C (mining) ed i kili di h2: 60,99/18,97= 3,22. In letteratura notiamo che generalmente è indicato come 1kg di H2 sostituisca circa 3,3 litri di gasolio. Questo rapporto particolarmente positivo è derivato dal fatto che il modello Diesel consuma in modo “realistico”, mentre l motore H2 è un prototipo ottimizzato, e i dati presentati sono dati di banco.</text>
  </threadedComment>
  <threadedComment ref="A15" dT="2026-01-23T14:28:03.60" personId="{A7679A35-1C53-48D6-8D0F-B7861C7721C5}" id="{F0EC7EE6-1984-4DA7-BE5E-A3B87538EEA7}">
    <text xml:space="preserve">Per l’idrogeno ho proceduto copiando la potenza richiesta al Diesel. Sto, infatti, facendo un cosiddetto “benchmark a parità di missione”, in cui il diesel è la mia “baseline”, un motore realmente utilizzato con risultati conosciuti e appurati, quindi il mio obiettivo è verificare SE il motore idrogeno è in grado di lavorare allo stesso regime e, se si, come.
</text>
  </threadedComment>
  <threadedComment ref="AI18" dT="2026-01-26T10:44:15.34" personId="{A7679A35-1C53-48D6-8D0F-B7861C7721C5}" id="{EF9BCC18-8458-4669-8BA9-C6E6A6C58484}">
    <text>I costi sono basati su diverse ricerche di stampo economico che mirano a prevedere l’evoluzione dei costi nella produzione, stoccaggio e trasporto dell’idrogeno (verde) in Europa (Germania principalmente) e Cina orientale. tutte raggiungono conclusioni estremamente simili, i numeri qui presentati sono basati in particolar modo su Reuss et al. (2019), che indica un “floor” di ottimizzazione attorno ai 6€, mentre un tetto di circa 8-9€. Come valore attuale uso 10€ in quanto stima prudativa che riflette l’attuale assenza di economie di scala nel settore, mancanza di infrastrutture e tecnologie non ottimizzate. Si possono trovare anche stime che parlano potenzialmente di scenari in cui l’GH2 potrebbe arrivare anche a 4€ al kilo, tuttavia è difficile prevedere quanto le infrastrutture e le tecnologie possano migliorare nel giro di 15-20 anni, e dipenderà in gran modo anche dall’appoggio legislativo, come visto in precedenza con la diffusione dell’elettrico.</text>
  </threadedComment>
  <threadedComment ref="AI18" dT="2026-01-26T11:38:30.41" personId="{A7679A35-1C53-48D6-8D0F-B7861C7721C5}" id="{8F80A52B-1FDA-4798-BEE9-3FA9953F2FE2}" parentId="{EF9BCC18-8458-4669-8BA9-C6E6A6C58484}">
    <text xml:space="preserve">Il prezzo del diesel 
è preso considerando il costo all’ingrosso del diesel in italia contenuto nel “weekly oil bulletin” della commisione europea, datato 15/01/2026, di 688,34 euro per 1000 litri e sommato alle accise, 672,6 euro per 1000 litri. In totale viene circa 1,36 euro al litro (iva esclusa), prendiamo 1,5 come in via prudenziale, per sopperire eventuali fluttuazioni di mercato 
</text>
  </threadedComment>
  <threadedComment ref="AJ18" dT="2026-01-26T11:57:06.10" personId="{A7679A35-1C53-48D6-8D0F-B7861C7721C5}" id="{55C59597-4D80-4DC2-816B-77E857D324BA}">
    <text>Notiamo che attualmente i costi operativi orari (OPEX) di un ciclo idrogeno raddoppiano quelli dello stesso ciclo alimentato a diesel. Questo gap, tuttavia si riduce sensibilmente se consideriamo il costo di approvvigionamento dell’H2 previsto negli obiettivi ambientali dell’EU per il 2030, di 6€/kg. In questo caso il gap si aggira fra il 20% ed il 25.
 Possiamo facilmente calcolare il break-even point. prendiamo l’esempio del ciclo C (mining): costo orario del diesel 91,49€/h; consumo H2 orario 18,97 kg/h. quindi il prezzo di break even dell’idrogeno sarebbe (91,49/18,97)=4,823.
 Questo è circa il 24% in meno del target EU 2030, ma in linea con altri studi di fattibilità che prevedono il breakeven dell’idrogeno attorno ai 4€/kg, (Basma H., Zhou Y. et al, 2022; Sens L., Neuling U. et al. 2022).
Questo gap, comunque, può essere sanato anche burocraticamente dalle istituzioni nazionali e sovranazionali, con incentivi, carbon tax, detrazioni, etc.
Un problema nascosto legato all’idrogeno (che verrà discusso separatamente) sta invece nello stoccaggio. Immaginiamoci, infatti, un turno di lavoro da 8h nel ciclo mining ( C): il gasolio necessario sarebbe 61*8=490 litri, che starebbe comodamente in mezzo metro cubo. L’idrogeno necessario, invece, sarebbe 18,97*8=152kg. L’idrogeno ad alta pressione (350 bar) ha una densità di circa 24kg/mc, quindi per stoccare 152kg di idrogeno servirebbero &gt;6mc di serbatoio (o proprio, sul camion, o esterno, ma questo vuol dire che oltre ai miei mezzi di lavoro dovrei prevedere anche la presenza di mobile fuelers (una camionetta di rifornimento)). Questo, chiaramente, presenta un grande limite dell’idrogeno in applicazioni civili e come carburante per il trasporto su gomma a medio-lungo raggio. In generale l’idrogeno occupa 10-12 volte il volume del diesel.</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F6065-4AD4-445E-9C50-6B93E026ECFE}">
  <dimension ref="B2:AA19"/>
  <sheetViews>
    <sheetView topLeftCell="Q1" zoomScale="85" zoomScaleNormal="85" workbookViewId="0">
      <selection activeCell="V19" sqref="V19"/>
    </sheetView>
  </sheetViews>
  <sheetFormatPr defaultRowHeight="14.4" x14ac:dyDescent="0.3"/>
  <cols>
    <col min="2" max="2" width="20.5546875" customWidth="1"/>
    <col min="5" max="5" width="11.6640625" customWidth="1"/>
    <col min="6" max="6" width="13.44140625" customWidth="1"/>
    <col min="9" max="9" width="14.88671875" customWidth="1"/>
    <col min="11" max="11" width="19.44140625" customWidth="1"/>
    <col min="13" max="13" width="10.6640625" customWidth="1"/>
    <col min="14" max="14" width="12.6640625" customWidth="1"/>
    <col min="15" max="15" width="13.6640625" customWidth="1"/>
    <col min="18" max="18" width="14.88671875" customWidth="1"/>
    <col min="20" max="20" width="19.33203125" customWidth="1"/>
    <col min="21" max="21" width="10.6640625" customWidth="1"/>
    <col min="22" max="22" width="12.6640625" customWidth="1"/>
    <col min="23" max="23" width="11.5546875" customWidth="1"/>
    <col min="24" max="24" width="14.21875" customWidth="1"/>
    <col min="26" max="26" width="9.5546875" customWidth="1"/>
    <col min="27" max="27" width="15.33203125" customWidth="1"/>
  </cols>
  <sheetData>
    <row r="2" spans="2:27" ht="15" thickBot="1" x14ac:dyDescent="0.35"/>
    <row r="3" spans="2:27" ht="15" thickBot="1" x14ac:dyDescent="0.35">
      <c r="B3" s="17" t="s">
        <v>0</v>
      </c>
      <c r="C3" s="18" t="s">
        <v>1</v>
      </c>
      <c r="D3" s="18" t="s">
        <v>2</v>
      </c>
      <c r="E3" s="18" t="s">
        <v>3</v>
      </c>
      <c r="F3" s="18" t="s">
        <v>4</v>
      </c>
      <c r="G3" s="18" t="s">
        <v>5</v>
      </c>
      <c r="H3" s="18" t="s">
        <v>6</v>
      </c>
      <c r="I3" s="19" t="s">
        <v>7</v>
      </c>
      <c r="K3" s="17" t="s">
        <v>8</v>
      </c>
      <c r="L3" s="18" t="s">
        <v>1</v>
      </c>
      <c r="M3" s="18" t="s">
        <v>2</v>
      </c>
      <c r="N3" s="18" t="s">
        <v>3</v>
      </c>
      <c r="O3" s="18" t="s">
        <v>4</v>
      </c>
      <c r="P3" s="18" t="s">
        <v>5</v>
      </c>
      <c r="Q3" s="18" t="s">
        <v>6</v>
      </c>
      <c r="R3" s="19" t="s">
        <v>7</v>
      </c>
      <c r="T3" s="17" t="s">
        <v>9</v>
      </c>
      <c r="U3" s="18" t="s">
        <v>1</v>
      </c>
      <c r="V3" s="18" t="s">
        <v>2</v>
      </c>
      <c r="W3" s="18" t="s">
        <v>3</v>
      </c>
      <c r="X3" s="18" t="s">
        <v>4</v>
      </c>
      <c r="Y3" s="18" t="s">
        <v>5</v>
      </c>
      <c r="Z3" s="18" t="s">
        <v>6</v>
      </c>
      <c r="AA3" s="19" t="s">
        <v>10</v>
      </c>
    </row>
    <row r="4" spans="2:27" x14ac:dyDescent="0.3">
      <c r="B4" s="14" t="s">
        <v>11</v>
      </c>
      <c r="C4" s="14">
        <v>600</v>
      </c>
      <c r="D4" s="14">
        <v>70</v>
      </c>
      <c r="E4" s="15">
        <f>D4*0.1256/13</f>
        <v>0.67630769230769228</v>
      </c>
      <c r="F4" s="14">
        <v>500</v>
      </c>
      <c r="G4" s="15">
        <f>(D4*C4)/9550</f>
        <v>4.3979057591623034</v>
      </c>
      <c r="H4" s="15">
        <f>(F4*G4)/1000</f>
        <v>2.1989528795811517</v>
      </c>
      <c r="I4" s="14">
        <v>0.2</v>
      </c>
      <c r="K4" s="14" t="s">
        <v>12</v>
      </c>
      <c r="L4" s="14">
        <v>800</v>
      </c>
      <c r="M4" s="14">
        <v>85</v>
      </c>
      <c r="N4" s="15">
        <f>M4*0.1256/13</f>
        <v>0.8212307692307691</v>
      </c>
      <c r="O4" s="14">
        <v>400</v>
      </c>
      <c r="P4" s="15">
        <f>(M4*L4)/9550</f>
        <v>7.1204188481675397</v>
      </c>
      <c r="Q4" s="15">
        <f>(O4*P4)/1000</f>
        <v>2.848167539267016</v>
      </c>
      <c r="R4" s="14">
        <v>0.1</v>
      </c>
      <c r="T4" s="14" t="s">
        <v>13</v>
      </c>
      <c r="U4" s="14">
        <v>700</v>
      </c>
      <c r="V4" s="14">
        <v>152</v>
      </c>
      <c r="W4" s="15">
        <f>V4*0.1256/13</f>
        <v>1.4685538461538459</v>
      </c>
      <c r="X4" s="14">
        <v>400</v>
      </c>
      <c r="Y4" s="15">
        <f>(V4*U4)/9550</f>
        <v>11.141361256544503</v>
      </c>
      <c r="Z4" s="15">
        <f>(X4*Y4)/1000</f>
        <v>4.4565445026178017</v>
      </c>
      <c r="AA4" s="14">
        <v>0.05</v>
      </c>
    </row>
    <row r="5" spans="2:27" x14ac:dyDescent="0.3">
      <c r="B5" s="1" t="s">
        <v>14</v>
      </c>
      <c r="C5" s="1">
        <v>900</v>
      </c>
      <c r="D5" s="1">
        <v>586</v>
      </c>
      <c r="E5" s="4">
        <f t="shared" ref="E5:E8" si="0">D5*0.1256/13</f>
        <v>5.6616615384615381</v>
      </c>
      <c r="F5" s="1">
        <v>245</v>
      </c>
      <c r="G5" s="4">
        <f t="shared" ref="G5:G8" si="1">(D5*C5)/9550</f>
        <v>55.225130890052355</v>
      </c>
      <c r="H5" s="4">
        <f t="shared" ref="H5:H8" si="2">(F5*G5)/1000</f>
        <v>13.530157068062827</v>
      </c>
      <c r="I5" s="1">
        <v>0.2</v>
      </c>
      <c r="K5" s="1" t="s">
        <v>15</v>
      </c>
      <c r="L5" s="1">
        <v>1200</v>
      </c>
      <c r="M5" s="1">
        <v>901</v>
      </c>
      <c r="N5" s="4">
        <f t="shared" ref="N5:N8" si="3">M5*0.1256/13</f>
        <v>8.705046153846153</v>
      </c>
      <c r="O5" s="1">
        <v>215</v>
      </c>
      <c r="P5" s="4">
        <f t="shared" ref="P5:P8" si="4">(M5*L5)/9550</f>
        <v>113.21465968586388</v>
      </c>
      <c r="Q5" s="4">
        <f t="shared" ref="Q5:Q8" si="5">(O5*P5)/1000</f>
        <v>24.341151832460735</v>
      </c>
      <c r="R5" s="1">
        <v>0.25</v>
      </c>
      <c r="T5" s="1" t="s">
        <v>16</v>
      </c>
      <c r="U5" s="1">
        <v>1200</v>
      </c>
      <c r="V5" s="1">
        <v>2028</v>
      </c>
      <c r="W5" s="4">
        <f t="shared" ref="W5:W8" si="6">V5*0.1256/13</f>
        <v>19.593599999999999</v>
      </c>
      <c r="X5" s="1">
        <v>193</v>
      </c>
      <c r="Y5" s="4">
        <f t="shared" ref="Y5:Y8" si="7">(V5*U5)/9550</f>
        <v>254.82722513089004</v>
      </c>
      <c r="Z5" s="4">
        <f t="shared" ref="Z5:Z8" si="8">(X5*Y5)/1000</f>
        <v>49.181654450261775</v>
      </c>
      <c r="AA5" s="1">
        <v>0.25</v>
      </c>
    </row>
    <row r="6" spans="2:27" x14ac:dyDescent="0.3">
      <c r="B6" s="1" t="s">
        <v>17</v>
      </c>
      <c r="C6" s="1">
        <v>1100</v>
      </c>
      <c r="D6" s="1">
        <v>1130</v>
      </c>
      <c r="E6" s="4">
        <f t="shared" si="0"/>
        <v>10.917538461538461</v>
      </c>
      <c r="F6" s="1">
        <v>205</v>
      </c>
      <c r="G6" s="4">
        <f t="shared" si="1"/>
        <v>130.15706806282722</v>
      </c>
      <c r="H6" s="4">
        <f t="shared" si="2"/>
        <v>26.682198952879581</v>
      </c>
      <c r="I6" s="1">
        <v>0.2</v>
      </c>
      <c r="K6" s="1" t="s">
        <v>18</v>
      </c>
      <c r="L6" s="1">
        <v>1400</v>
      </c>
      <c r="M6" s="1">
        <v>1333</v>
      </c>
      <c r="N6" s="4">
        <f t="shared" si="3"/>
        <v>12.878830769230767</v>
      </c>
      <c r="O6" s="1">
        <v>197</v>
      </c>
      <c r="P6" s="4">
        <f t="shared" si="4"/>
        <v>195.41361256544502</v>
      </c>
      <c r="Q6" s="4">
        <f t="shared" si="5"/>
        <v>38.496481675392673</v>
      </c>
      <c r="R6" s="1">
        <v>0.3</v>
      </c>
      <c r="T6" s="1" t="s">
        <v>19</v>
      </c>
      <c r="U6" s="1">
        <v>1500</v>
      </c>
      <c r="V6" s="1">
        <v>2183</v>
      </c>
      <c r="W6" s="4">
        <f t="shared" si="6"/>
        <v>21.09113846153846</v>
      </c>
      <c r="X6" s="1">
        <v>190</v>
      </c>
      <c r="Y6" s="4">
        <f t="shared" si="7"/>
        <v>342.87958115183244</v>
      </c>
      <c r="Z6" s="4">
        <f t="shared" si="8"/>
        <v>65.147120418848161</v>
      </c>
      <c r="AA6" s="1">
        <v>0.35</v>
      </c>
    </row>
    <row r="7" spans="2:27" x14ac:dyDescent="0.3">
      <c r="B7" s="1" t="s">
        <v>20</v>
      </c>
      <c r="C7" s="1">
        <v>1500</v>
      </c>
      <c r="D7" s="1">
        <v>1310</v>
      </c>
      <c r="E7" s="4">
        <f t="shared" si="0"/>
        <v>12.656615384615382</v>
      </c>
      <c r="F7" s="1">
        <v>200</v>
      </c>
      <c r="G7" s="4">
        <f t="shared" si="1"/>
        <v>205.75916230366491</v>
      </c>
      <c r="H7" s="4">
        <f t="shared" si="2"/>
        <v>41.151832460732983</v>
      </c>
      <c r="I7" s="1">
        <v>0.15</v>
      </c>
      <c r="K7" s="1" t="s">
        <v>21</v>
      </c>
      <c r="L7" s="1">
        <v>1700</v>
      </c>
      <c r="M7" s="1">
        <v>1388</v>
      </c>
      <c r="N7" s="4">
        <f t="shared" si="3"/>
        <v>13.410215384615384</v>
      </c>
      <c r="O7" s="1">
        <v>203</v>
      </c>
      <c r="P7" s="4">
        <f t="shared" si="4"/>
        <v>247.07853403141362</v>
      </c>
      <c r="Q7" s="4">
        <f t="shared" si="5"/>
        <v>50.156942408376963</v>
      </c>
      <c r="R7" s="1">
        <v>0.25</v>
      </c>
      <c r="T7" s="1" t="s">
        <v>22</v>
      </c>
      <c r="U7" s="1">
        <v>1900</v>
      </c>
      <c r="V7" s="1">
        <v>1456</v>
      </c>
      <c r="W7" s="4">
        <f t="shared" si="6"/>
        <v>14.067199999999998</v>
      </c>
      <c r="X7" s="1">
        <v>205</v>
      </c>
      <c r="Y7" s="4">
        <f t="shared" si="7"/>
        <v>289.67539267015707</v>
      </c>
      <c r="Z7" s="4">
        <f t="shared" si="8"/>
        <v>59.383455497382201</v>
      </c>
      <c r="AA7" s="1">
        <v>0.25</v>
      </c>
    </row>
    <row r="8" spans="2:27" x14ac:dyDescent="0.3">
      <c r="B8" s="1" t="s">
        <v>23</v>
      </c>
      <c r="C8" s="1">
        <v>900</v>
      </c>
      <c r="D8" s="1">
        <v>195</v>
      </c>
      <c r="E8" s="4">
        <f t="shared" si="0"/>
        <v>1.8839999999999999</v>
      </c>
      <c r="F8" s="1">
        <v>400</v>
      </c>
      <c r="G8" s="4">
        <f t="shared" si="1"/>
        <v>18.376963350785342</v>
      </c>
      <c r="H8" s="4">
        <f t="shared" si="2"/>
        <v>7.350785340314137</v>
      </c>
      <c r="I8" s="1">
        <v>0.25</v>
      </c>
      <c r="K8" s="1" t="s">
        <v>24</v>
      </c>
      <c r="L8" s="1">
        <v>1300</v>
      </c>
      <c r="M8" s="1">
        <v>450</v>
      </c>
      <c r="N8" s="4">
        <f t="shared" si="3"/>
        <v>4.3476923076923075</v>
      </c>
      <c r="O8" s="1">
        <v>255</v>
      </c>
      <c r="P8" s="4">
        <f t="shared" si="4"/>
        <v>61.2565445026178</v>
      </c>
      <c r="Q8" s="4">
        <f t="shared" si="5"/>
        <v>15.620418848167539</v>
      </c>
      <c r="R8" s="1">
        <v>0.1</v>
      </c>
      <c r="T8" s="1" t="s">
        <v>25</v>
      </c>
      <c r="U8" s="1">
        <v>1600</v>
      </c>
      <c r="V8" s="1">
        <v>785</v>
      </c>
      <c r="W8" s="4">
        <f t="shared" si="6"/>
        <v>7.5843076923076911</v>
      </c>
      <c r="X8" s="1">
        <v>220</v>
      </c>
      <c r="Y8" s="4">
        <f t="shared" si="7"/>
        <v>131.51832460732984</v>
      </c>
      <c r="Z8" s="4">
        <f t="shared" si="8"/>
        <v>28.934031413612566</v>
      </c>
      <c r="AA8" s="1">
        <v>0.1</v>
      </c>
    </row>
    <row r="9" spans="2:27" ht="15" thickBot="1" x14ac:dyDescent="0.35"/>
    <row r="10" spans="2:27" ht="15" thickBot="1" x14ac:dyDescent="0.35">
      <c r="B10" s="2" t="s">
        <v>26</v>
      </c>
      <c r="C10" s="25">
        <f>(SUMPRODUCT(G4:G8,I4:I8)* 3.6) / (SUMPRODUCT(H4:H8,I4:I8) * 42.5)</f>
        <v>0.37705146767517361</v>
      </c>
      <c r="D10" s="26"/>
      <c r="I10" s="3" t="s">
        <v>27</v>
      </c>
      <c r="K10" s="2" t="s">
        <v>28</v>
      </c>
      <c r="L10" s="25">
        <f>(SUMPRODUCT(P4:P8,R4:R8)* 3.6) / (SUMPRODUCT(Q4:Q8,R4:R8) * 42.5)</f>
        <v>0.41144914562701435</v>
      </c>
      <c r="M10" s="26"/>
      <c r="R10" s="3" t="s">
        <v>27</v>
      </c>
      <c r="T10" s="2" t="s">
        <v>29</v>
      </c>
      <c r="U10" s="25">
        <f>(SUMPRODUCT(Y4:Y8,AA4:AA8)* 3.6) / (SUMPRODUCT(Z4:Z8,AA4:AA8) * 42.5)</f>
        <v>0.43078910830986961</v>
      </c>
      <c r="V10" s="26"/>
      <c r="AA10" s="3" t="s">
        <v>27</v>
      </c>
    </row>
    <row r="11" spans="2:27" ht="15" thickBot="1" x14ac:dyDescent="0.35">
      <c r="B11" s="2" t="s">
        <v>30</v>
      </c>
      <c r="C11" s="24">
        <f>(SUMPRODUCT(H4:H8,I4:I8))/0.835</f>
        <v>19.751776029093648</v>
      </c>
      <c r="D11" s="24"/>
      <c r="K11" s="2" t="s">
        <v>30</v>
      </c>
      <c r="L11" s="24">
        <f>(SUMPRODUCT(Q4:Q8,R4:R8))/0.835</f>
        <v>38.347696648587643</v>
      </c>
      <c r="M11" s="24"/>
      <c r="T11" s="2" t="s">
        <v>30</v>
      </c>
      <c r="U11" s="24">
        <f>(SUMPRODUCT(Z4:Z8,AA4:AA8))/0.835</f>
        <v>63.543712574850289</v>
      </c>
      <c r="V11" s="24"/>
    </row>
    <row r="12" spans="2:27" ht="15" thickBot="1" x14ac:dyDescent="0.35">
      <c r="B12" s="2" t="s">
        <v>31</v>
      </c>
      <c r="C12" s="24">
        <f>C11*42.5*0.835</f>
        <v>700.94115183246083</v>
      </c>
      <c r="D12" s="24"/>
      <c r="K12" s="2" t="s">
        <v>31</v>
      </c>
      <c r="L12" s="24">
        <f>L11*42.5*0.835</f>
        <v>1360.8638848167539</v>
      </c>
      <c r="M12" s="24"/>
      <c r="T12" s="2" t="s">
        <v>31</v>
      </c>
      <c r="U12" s="24">
        <f>U11*42.5*0.835</f>
        <v>2255.0074999999993</v>
      </c>
      <c r="V12" s="24"/>
    </row>
    <row r="14" spans="2:27" x14ac:dyDescent="0.3">
      <c r="B14" s="22" t="s">
        <v>32</v>
      </c>
      <c r="C14" s="22"/>
    </row>
    <row r="16" spans="2:27" x14ac:dyDescent="0.3">
      <c r="B16" s="22" t="s">
        <v>33</v>
      </c>
      <c r="C16" s="22"/>
    </row>
    <row r="17" spans="2:4" ht="15" thickBot="1" x14ac:dyDescent="0.35"/>
    <row r="18" spans="2:4" ht="15" thickBot="1" x14ac:dyDescent="0.35">
      <c r="B18" s="2" t="s">
        <v>58</v>
      </c>
      <c r="C18" s="5">
        <f>AVERAGE(F5:F8,O5:O8,X5:X8)</f>
        <v>227.33333333333334</v>
      </c>
      <c r="D18" t="s">
        <v>55</v>
      </c>
    </row>
    <row r="19" spans="2:4" x14ac:dyDescent="0.3">
      <c r="B19" s="21" t="s">
        <v>59</v>
      </c>
      <c r="C19" s="21"/>
    </row>
  </sheetData>
  <mergeCells count="12">
    <mergeCell ref="B19:C19"/>
    <mergeCell ref="U10:V10"/>
    <mergeCell ref="C11:D11"/>
    <mergeCell ref="L11:M11"/>
    <mergeCell ref="U11:V11"/>
    <mergeCell ref="B14:C14"/>
    <mergeCell ref="B16:C16"/>
    <mergeCell ref="C10:D10"/>
    <mergeCell ref="L10:M10"/>
    <mergeCell ref="U12:V12"/>
    <mergeCell ref="L12:M12"/>
    <mergeCell ref="C12:D12"/>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39A91-E956-4C16-A456-C8A261C38696}">
  <dimension ref="A2:AL21"/>
  <sheetViews>
    <sheetView tabSelected="1" topLeftCell="AD2" zoomScale="83" zoomScaleNormal="85" workbookViewId="0">
      <selection activeCell="AJ17" sqref="AJ17"/>
    </sheetView>
  </sheetViews>
  <sheetFormatPr defaultRowHeight="14.4" x14ac:dyDescent="0.3"/>
  <cols>
    <col min="1" max="1" width="19.88671875" customWidth="1"/>
    <col min="2" max="2" width="12.6640625" bestFit="1" customWidth="1"/>
    <col min="5" max="5" width="10.6640625" customWidth="1"/>
    <col min="6" max="6" width="13.77734375" customWidth="1"/>
    <col min="7" max="7" width="13.6640625" customWidth="1"/>
    <col min="9" max="9" width="14.44140625" customWidth="1"/>
    <col min="11" max="11" width="21.33203125" customWidth="1"/>
    <col min="12" max="12" width="10.44140625" bestFit="1" customWidth="1"/>
    <col min="13" max="13" width="10.6640625" customWidth="1"/>
    <col min="14" max="14" width="12.6640625" customWidth="1"/>
    <col min="15" max="16" width="13.33203125" customWidth="1"/>
    <col min="17" max="17" width="13.5546875" customWidth="1"/>
    <col min="18" max="18" width="14.44140625" customWidth="1"/>
    <col min="19" max="19" width="14.88671875" customWidth="1"/>
    <col min="21" max="21" width="21.44140625" customWidth="1"/>
    <col min="22" max="22" width="12.6640625" customWidth="1"/>
    <col min="23" max="23" width="10.6640625" bestFit="1" customWidth="1"/>
    <col min="25" max="25" width="12.33203125" customWidth="1"/>
    <col min="26" max="26" width="14.6640625" customWidth="1"/>
    <col min="27" max="27" width="14.44140625" customWidth="1"/>
    <col min="29" max="29" width="14.88671875" customWidth="1"/>
    <col min="30" max="30" width="8.88671875" customWidth="1"/>
    <col min="31" max="31" width="14.77734375" customWidth="1"/>
    <col min="32" max="32" width="19.88671875" customWidth="1"/>
    <col min="33" max="33" width="17.109375" customWidth="1"/>
    <col min="34" max="34" width="14" customWidth="1"/>
    <col min="35" max="35" width="20.6640625" customWidth="1"/>
    <col min="36" max="36" width="16.5546875" customWidth="1"/>
    <col min="37" max="37" width="19.33203125" customWidth="1"/>
    <col min="38" max="38" width="18.6640625" customWidth="1"/>
  </cols>
  <sheetData>
    <row r="2" spans="1:38" ht="15" thickBot="1" x14ac:dyDescent="0.35"/>
    <row r="3" spans="1:38" ht="15" thickBot="1" x14ac:dyDescent="0.35">
      <c r="A3" s="17" t="s">
        <v>0</v>
      </c>
      <c r="B3" s="18" t="s">
        <v>1</v>
      </c>
      <c r="C3" s="18" t="s">
        <v>2</v>
      </c>
      <c r="D3" s="18" t="s">
        <v>34</v>
      </c>
      <c r="E3" s="18" t="s">
        <v>35</v>
      </c>
      <c r="F3" s="18" t="s">
        <v>4</v>
      </c>
      <c r="G3" s="18" t="s">
        <v>5</v>
      </c>
      <c r="H3" s="18" t="s">
        <v>6</v>
      </c>
      <c r="I3" s="19" t="s">
        <v>7</v>
      </c>
      <c r="K3" s="17" t="s">
        <v>8</v>
      </c>
      <c r="L3" s="18" t="s">
        <v>1</v>
      </c>
      <c r="M3" s="18" t="s">
        <v>2</v>
      </c>
      <c r="N3" s="18" t="s">
        <v>34</v>
      </c>
      <c r="O3" s="18" t="s">
        <v>3</v>
      </c>
      <c r="P3" s="18" t="s">
        <v>4</v>
      </c>
      <c r="Q3" s="18" t="s">
        <v>5</v>
      </c>
      <c r="R3" s="18" t="s">
        <v>6</v>
      </c>
      <c r="S3" s="19" t="s">
        <v>7</v>
      </c>
      <c r="U3" s="17" t="s">
        <v>9</v>
      </c>
      <c r="V3" s="18" t="s">
        <v>1</v>
      </c>
      <c r="W3" s="18" t="s">
        <v>2</v>
      </c>
      <c r="X3" s="18" t="s">
        <v>34</v>
      </c>
      <c r="Y3" s="18" t="s">
        <v>3</v>
      </c>
      <c r="Z3" s="18" t="s">
        <v>4</v>
      </c>
      <c r="AA3" s="18" t="s">
        <v>5</v>
      </c>
      <c r="AB3" s="18" t="s">
        <v>56</v>
      </c>
      <c r="AC3" s="18" t="s">
        <v>57</v>
      </c>
      <c r="AD3" s="18" t="s">
        <v>6</v>
      </c>
      <c r="AE3" s="19" t="s">
        <v>7</v>
      </c>
      <c r="AH3" s="12" t="s">
        <v>60</v>
      </c>
      <c r="AI3" t="s">
        <v>37</v>
      </c>
      <c r="AJ3" t="s">
        <v>38</v>
      </c>
      <c r="AK3" t="s">
        <v>39</v>
      </c>
      <c r="AL3" t="s">
        <v>40</v>
      </c>
    </row>
    <row r="4" spans="1:38" x14ac:dyDescent="0.3">
      <c r="A4" s="14" t="s">
        <v>11</v>
      </c>
      <c r="B4" s="14">
        <v>600</v>
      </c>
      <c r="C4" s="15">
        <f>(G4*9550)/B4</f>
        <v>70.033333333333331</v>
      </c>
      <c r="D4" s="14">
        <v>0.15</v>
      </c>
      <c r="E4" s="15">
        <f>(C4*0.1256)/12.8</f>
        <v>0.68720208333333321</v>
      </c>
      <c r="F4" s="15">
        <f>3600/(D4*120)</f>
        <v>200</v>
      </c>
      <c r="G4" s="14">
        <v>4.4000000000000004</v>
      </c>
      <c r="H4" s="15">
        <f>(F4*G4)/1000</f>
        <v>0.88000000000000012</v>
      </c>
      <c r="I4" s="14">
        <v>0.2</v>
      </c>
      <c r="K4" s="14" t="s">
        <v>12</v>
      </c>
      <c r="L4" s="14">
        <v>800</v>
      </c>
      <c r="M4" s="15">
        <f>Q4*9550/L4</f>
        <v>84.995000000000005</v>
      </c>
      <c r="N4" s="14">
        <v>0.15</v>
      </c>
      <c r="O4" s="15">
        <f>(M4*0.1256)/12.8</f>
        <v>0.8340134374999999</v>
      </c>
      <c r="P4" s="15">
        <f>3600/(N4*120)</f>
        <v>200</v>
      </c>
      <c r="Q4" s="15">
        <v>7.12</v>
      </c>
      <c r="R4" s="15">
        <f>(P4*Q4)/1000</f>
        <v>1.4239999999999999</v>
      </c>
      <c r="S4" s="14">
        <v>0.1</v>
      </c>
      <c r="U4" s="14" t="s">
        <v>13</v>
      </c>
      <c r="V4" s="14">
        <v>700</v>
      </c>
      <c r="W4" s="15">
        <f>AA4*9550/V4</f>
        <v>151.98142857142858</v>
      </c>
      <c r="X4" s="14">
        <v>0.15</v>
      </c>
      <c r="Y4" s="15">
        <f>(W4*0.1256)/12.8</f>
        <v>1.4913177678571428</v>
      </c>
      <c r="Z4" s="15">
        <f>3600/(X4*120)</f>
        <v>200</v>
      </c>
      <c r="AA4" s="15">
        <v>11.14</v>
      </c>
      <c r="AB4" s="15">
        <f>MIN(AA4, 277)</f>
        <v>11.14</v>
      </c>
      <c r="AC4" s="16">
        <f>AA4/277</f>
        <v>4.0216606498194946E-2</v>
      </c>
      <c r="AD4" s="15">
        <f>(Z4*AA4)/1000</f>
        <v>2.2280000000000002</v>
      </c>
      <c r="AE4" s="14">
        <v>0.05</v>
      </c>
      <c r="AH4" t="s">
        <v>36</v>
      </c>
      <c r="AI4" t="s">
        <v>41</v>
      </c>
      <c r="AJ4" s="5">
        <f>19.75</f>
        <v>19.75</v>
      </c>
      <c r="AK4">
        <v>5.85</v>
      </c>
      <c r="AL4">
        <v>5.85</v>
      </c>
    </row>
    <row r="5" spans="1:38" x14ac:dyDescent="0.3">
      <c r="A5" s="1" t="s">
        <v>14</v>
      </c>
      <c r="B5" s="1">
        <v>900</v>
      </c>
      <c r="C5" s="4">
        <f t="shared" ref="C5" si="0">(G5*9550)/B5</f>
        <v>586.05166666666662</v>
      </c>
      <c r="D5" s="1">
        <v>0.37</v>
      </c>
      <c r="E5" s="4">
        <f>(C5*0.1256)/12.8</f>
        <v>5.7506319791666654</v>
      </c>
      <c r="F5" s="4">
        <f t="shared" ref="F5:F8" si="1">3600/(D5*120)</f>
        <v>81.081081081081081</v>
      </c>
      <c r="G5" s="1">
        <v>55.23</v>
      </c>
      <c r="H5" s="4">
        <f>(F5*G5)/1000</f>
        <v>4.4781081081081071</v>
      </c>
      <c r="I5" s="1">
        <v>0.2</v>
      </c>
      <c r="K5" s="1" t="s">
        <v>15</v>
      </c>
      <c r="L5" s="1">
        <v>1200</v>
      </c>
      <c r="M5" s="4">
        <f t="shared" ref="M5:M8" si="2">Q5*9550/L5</f>
        <v>900.96291666666662</v>
      </c>
      <c r="N5" s="1">
        <v>0.39500000000000002</v>
      </c>
      <c r="O5" s="4">
        <f>(M5*0.1256)/12.8</f>
        <v>8.8406986197916648</v>
      </c>
      <c r="P5" s="4">
        <f t="shared" ref="P5:P8" si="3">3600/(N5*120)</f>
        <v>75.949367088607588</v>
      </c>
      <c r="Q5" s="4">
        <v>113.21</v>
      </c>
      <c r="R5" s="4">
        <f t="shared" ref="R5:R8" si="4">(P5*Q5)/1000</f>
        <v>8.5982278481012653</v>
      </c>
      <c r="S5" s="1">
        <v>0.25</v>
      </c>
      <c r="U5" s="1" t="s">
        <v>16</v>
      </c>
      <c r="V5" s="1">
        <v>1200</v>
      </c>
      <c r="W5" s="4">
        <f t="shared" ref="W5:W8" si="5">AA5*9550/V5</f>
        <v>2028.0220833333333</v>
      </c>
      <c r="X5" s="1">
        <v>0.41</v>
      </c>
      <c r="Y5" s="4">
        <f>(W5*0.1256)/12.8</f>
        <v>19.899966692708329</v>
      </c>
      <c r="Z5" s="4">
        <f t="shared" ref="Z5:Z8" si="6">3600/(X5*120)</f>
        <v>73.170731707317074</v>
      </c>
      <c r="AA5" s="4">
        <v>254.83</v>
      </c>
      <c r="AB5" s="4">
        <f t="shared" ref="AB5:AB8" si="7">MIN(AA5, 277)</f>
        <v>254.83</v>
      </c>
      <c r="AC5" s="10">
        <f t="shared" ref="AC5:AC8" si="8">AA5/277</f>
        <v>0.9199638989169675</v>
      </c>
      <c r="AD5" s="4">
        <f>(Z5*AA5)/1000</f>
        <v>18.646097560975608</v>
      </c>
      <c r="AE5" s="1">
        <v>0.25</v>
      </c>
      <c r="AI5" t="s">
        <v>42</v>
      </c>
      <c r="AJ5">
        <f>AJ4*$AJ$16</f>
        <v>34.5625</v>
      </c>
      <c r="AK5">
        <f>AK4*$AJ$14</f>
        <v>58.5</v>
      </c>
      <c r="AL5">
        <f>AL4*$AJ$15</f>
        <v>29.25</v>
      </c>
    </row>
    <row r="6" spans="1:38" x14ac:dyDescent="0.3">
      <c r="A6" s="1" t="s">
        <v>17</v>
      </c>
      <c r="B6" s="1">
        <v>1100</v>
      </c>
      <c r="C6" s="4">
        <f>(G6*9550)/B6</f>
        <v>1130.0254545454545</v>
      </c>
      <c r="D6" s="1">
        <v>0.39</v>
      </c>
      <c r="E6" s="4">
        <f t="shared" ref="E6:E7" si="9">(C6*0.1256)/12.8</f>
        <v>11.088374772727271</v>
      </c>
      <c r="F6" s="4">
        <f>3600/(D6*120)</f>
        <v>76.92307692307692</v>
      </c>
      <c r="G6" s="1">
        <v>130.16</v>
      </c>
      <c r="H6" s="4">
        <f t="shared" ref="H6:H8" si="10">(F6*G6)/1000</f>
        <v>10.012307692307692</v>
      </c>
      <c r="I6" s="1">
        <v>0.2</v>
      </c>
      <c r="K6" s="1" t="s">
        <v>18</v>
      </c>
      <c r="L6" s="1">
        <v>1400</v>
      </c>
      <c r="M6" s="4">
        <f t="shared" si="2"/>
        <v>1332.9753571428571</v>
      </c>
      <c r="N6" s="1">
        <v>0.40500000000000003</v>
      </c>
      <c r="O6" s="4">
        <f>(M6*0.1256)/12.8</f>
        <v>13.079820691964283</v>
      </c>
      <c r="P6" s="4">
        <f>3600/(N6*120)</f>
        <v>74.074074074074076</v>
      </c>
      <c r="Q6" s="4">
        <v>195.41</v>
      </c>
      <c r="R6" s="4">
        <f>(P6*Q6)/1000</f>
        <v>14.474814814814815</v>
      </c>
      <c r="S6" s="1">
        <v>0.3</v>
      </c>
      <c r="U6" s="1" t="s">
        <v>19</v>
      </c>
      <c r="V6" s="1">
        <v>1500</v>
      </c>
      <c r="W6" s="4">
        <f t="shared" si="5"/>
        <v>2183.0026666666668</v>
      </c>
      <c r="X6" s="1">
        <v>0.45</v>
      </c>
      <c r="Y6" s="4">
        <f t="shared" ref="Y6:Y8" si="11">(W6*0.1256)/12.8</f>
        <v>21.420713666666664</v>
      </c>
      <c r="Z6" s="4">
        <f>3600/(X6*120)</f>
        <v>66.666666666666671</v>
      </c>
      <c r="AA6" s="4">
        <v>342.88</v>
      </c>
      <c r="AB6" s="4">
        <f t="shared" si="7"/>
        <v>277</v>
      </c>
      <c r="AC6" s="10">
        <f t="shared" si="8"/>
        <v>1.2378339350180505</v>
      </c>
      <c r="AD6" s="4">
        <f>(Z6*AA6)/1000</f>
        <v>22.858666666666668</v>
      </c>
      <c r="AE6" s="1">
        <v>0.35</v>
      </c>
      <c r="AI6" t="s">
        <v>43</v>
      </c>
      <c r="AJ6" s="6" t="s">
        <v>44</v>
      </c>
      <c r="AK6" s="9">
        <f>(AK5-$AJ$5)/$AJ$5</f>
        <v>0.69258589511754065</v>
      </c>
      <c r="AL6" s="9">
        <f>(AL5-$AJ$5)/$AJ$5</f>
        <v>-0.15370705244122965</v>
      </c>
    </row>
    <row r="7" spans="1:38" x14ac:dyDescent="0.3">
      <c r="A7" s="1" t="s">
        <v>20</v>
      </c>
      <c r="B7" s="1">
        <v>1500</v>
      </c>
      <c r="C7" s="4">
        <f>(G7*9550)/B7</f>
        <v>1310.0053333333333</v>
      </c>
      <c r="D7" s="1">
        <v>0.4</v>
      </c>
      <c r="E7" s="4">
        <f t="shared" si="9"/>
        <v>12.85442733333333</v>
      </c>
      <c r="F7" s="4">
        <f t="shared" si="1"/>
        <v>75</v>
      </c>
      <c r="G7" s="1">
        <v>205.76</v>
      </c>
      <c r="H7" s="4">
        <f t="shared" si="10"/>
        <v>15.432</v>
      </c>
      <c r="I7" s="1">
        <v>0.15</v>
      </c>
      <c r="K7" s="1" t="s">
        <v>21</v>
      </c>
      <c r="L7" s="1">
        <v>1700</v>
      </c>
      <c r="M7" s="4">
        <f t="shared" si="2"/>
        <v>1388.0082352941176</v>
      </c>
      <c r="N7" s="1">
        <v>0.38</v>
      </c>
      <c r="O7" s="4">
        <f t="shared" ref="O7:O8" si="12">(M7*0.1256)/12.8</f>
        <v>13.619830808823528</v>
      </c>
      <c r="P7" s="4">
        <f t="shared" si="3"/>
        <v>78.94736842105263</v>
      </c>
      <c r="Q7" s="4">
        <v>247.08</v>
      </c>
      <c r="R7" s="4">
        <f t="shared" si="4"/>
        <v>19.506315789473682</v>
      </c>
      <c r="S7" s="1">
        <v>0.25</v>
      </c>
      <c r="U7" s="1" t="s">
        <v>22</v>
      </c>
      <c r="V7" s="1">
        <v>1900</v>
      </c>
      <c r="W7" s="4">
        <f t="shared" si="5"/>
        <v>1456.0231578947369</v>
      </c>
      <c r="X7" s="1">
        <v>0.36</v>
      </c>
      <c r="Y7" s="4">
        <f t="shared" si="11"/>
        <v>14.287227236842103</v>
      </c>
      <c r="Z7" s="4">
        <f t="shared" si="6"/>
        <v>83.333333333333343</v>
      </c>
      <c r="AA7" s="4">
        <v>289.68</v>
      </c>
      <c r="AB7" s="4">
        <f t="shared" si="7"/>
        <v>277</v>
      </c>
      <c r="AC7" s="10">
        <f t="shared" si="8"/>
        <v>1.0457761732851987</v>
      </c>
      <c r="AD7" s="4">
        <f>(Z7*AA7)/1000</f>
        <v>24.140000000000004</v>
      </c>
      <c r="AE7" s="1">
        <v>0.25</v>
      </c>
      <c r="AH7" t="s">
        <v>45</v>
      </c>
      <c r="AI7" t="s">
        <v>41</v>
      </c>
      <c r="AJ7">
        <v>38.35</v>
      </c>
      <c r="AK7">
        <v>12.04</v>
      </c>
      <c r="AL7">
        <v>12.04</v>
      </c>
    </row>
    <row r="8" spans="1:38" x14ac:dyDescent="0.3">
      <c r="A8" s="1" t="s">
        <v>23</v>
      </c>
      <c r="B8" s="1">
        <v>900</v>
      </c>
      <c r="C8" s="4">
        <f>(G8*9550)/B8</f>
        <v>195.03222222222223</v>
      </c>
      <c r="D8" s="1">
        <v>0.3</v>
      </c>
      <c r="E8" s="4">
        <f>(C8*0.1256)/12.8</f>
        <v>1.9137536805555555</v>
      </c>
      <c r="F8" s="4">
        <f t="shared" si="1"/>
        <v>100</v>
      </c>
      <c r="G8" s="1">
        <v>18.38</v>
      </c>
      <c r="H8" s="4">
        <f t="shared" si="10"/>
        <v>1.8380000000000001</v>
      </c>
      <c r="I8" s="1">
        <v>0.25</v>
      </c>
      <c r="K8" s="1" t="s">
        <v>24</v>
      </c>
      <c r="L8" s="1">
        <v>1300</v>
      </c>
      <c r="M8" s="4">
        <f t="shared" si="2"/>
        <v>450.02538461538461</v>
      </c>
      <c r="N8" s="1">
        <v>0.35</v>
      </c>
      <c r="O8" s="4">
        <f t="shared" si="12"/>
        <v>4.4158740865384605</v>
      </c>
      <c r="P8" s="4">
        <f t="shared" si="3"/>
        <v>85.714285714285708</v>
      </c>
      <c r="Q8" s="4">
        <v>61.26</v>
      </c>
      <c r="R8" s="4">
        <f t="shared" si="4"/>
        <v>5.250857142857142</v>
      </c>
      <c r="S8" s="1">
        <v>0.1</v>
      </c>
      <c r="U8" s="1" t="s">
        <v>25</v>
      </c>
      <c r="V8" s="1">
        <v>1600</v>
      </c>
      <c r="W8" s="4">
        <f t="shared" si="5"/>
        <v>785.01</v>
      </c>
      <c r="X8" s="1">
        <v>0.35</v>
      </c>
      <c r="Y8" s="4">
        <f t="shared" si="11"/>
        <v>7.7029106249999986</v>
      </c>
      <c r="Z8" s="4">
        <f t="shared" si="6"/>
        <v>85.714285714285708</v>
      </c>
      <c r="AA8" s="4">
        <v>131.52000000000001</v>
      </c>
      <c r="AB8" s="4">
        <f t="shared" si="7"/>
        <v>131.52000000000001</v>
      </c>
      <c r="AC8" s="10">
        <f t="shared" si="8"/>
        <v>0.47480144404332136</v>
      </c>
      <c r="AD8" s="4">
        <f>(Z8*AA8)/1000</f>
        <v>11.273142857142856</v>
      </c>
      <c r="AE8" s="1">
        <v>0.1</v>
      </c>
      <c r="AI8" t="s">
        <v>42</v>
      </c>
      <c r="AJ8">
        <f>AJ7*$AJ$16</f>
        <v>67.112499999999997</v>
      </c>
      <c r="AK8">
        <f>AK7*$AJ$14</f>
        <v>120.39999999999999</v>
      </c>
      <c r="AL8">
        <f>AL7*$AJ$15</f>
        <v>60.199999999999996</v>
      </c>
    </row>
    <row r="9" spans="1:38" ht="15" thickBot="1" x14ac:dyDescent="0.35">
      <c r="AI9" t="s">
        <v>43</v>
      </c>
      <c r="AJ9" s="6" t="s">
        <v>44</v>
      </c>
      <c r="AK9" s="9">
        <f>((AK8-$AJ$8)/$AJ$8)</f>
        <v>0.79400260756192953</v>
      </c>
      <c r="AL9" s="9">
        <f>((AL8-$AJ$8)/$AJ$8)</f>
        <v>-0.10299869621903522</v>
      </c>
    </row>
    <row r="10" spans="1:38" ht="15" thickBot="1" x14ac:dyDescent="0.35">
      <c r="A10" s="2" t="s">
        <v>26</v>
      </c>
      <c r="B10" s="25">
        <f>(SUMPRODUCT(G4:G8,I4:I8)* 3.6) / (SUMPRODUCT(H4:H8,I4:I8) * 120)</f>
        <v>0.37660152211516212</v>
      </c>
      <c r="C10" s="26"/>
      <c r="D10" s="5"/>
      <c r="I10" s="3" t="s">
        <v>27</v>
      </c>
      <c r="K10" s="2" t="s">
        <v>28</v>
      </c>
      <c r="L10" s="25">
        <f>(SUMPRODUCT(Q4:Q8,S4:S8)* 3.6) / (SUMPRODUCT(R4:R8,S4:S8) * 120)</f>
        <v>0.38766860979247736</v>
      </c>
      <c r="M10" s="26"/>
      <c r="S10" s="3" t="s">
        <v>27</v>
      </c>
      <c r="U10" s="2" t="s">
        <v>29</v>
      </c>
      <c r="V10" s="25">
        <f>(SUMPRODUCT(AB4:AB8,AE4:AE8)* 3.6) / (SUMPRODUCT(AD4:AD8,AE4:AE8) * 120)</f>
        <v>0.36660205567126813</v>
      </c>
      <c r="W10" s="26"/>
      <c r="AE10" s="3" t="s">
        <v>27</v>
      </c>
      <c r="AH10" t="s">
        <v>46</v>
      </c>
      <c r="AI10" t="s">
        <v>41</v>
      </c>
      <c r="AJ10">
        <v>63.54</v>
      </c>
      <c r="AK10" s="5">
        <f>V11</f>
        <v>19.935772009291519</v>
      </c>
      <c r="AL10" s="5">
        <f>V11</f>
        <v>19.935772009291519</v>
      </c>
    </row>
    <row r="11" spans="1:38" ht="15" thickBot="1" x14ac:dyDescent="0.35">
      <c r="A11" s="2" t="s">
        <v>47</v>
      </c>
      <c r="B11" s="23">
        <f>SUMPRODUCT(H4:H8,I4:I8)</f>
        <v>5.8483831600831602</v>
      </c>
      <c r="C11" s="24"/>
      <c r="G11" s="13" t="s">
        <v>62</v>
      </c>
      <c r="K11" s="2" t="s">
        <v>47</v>
      </c>
      <c r="L11" s="23">
        <f>SUMPRODUCT(R4:R8,S4:S8)</f>
        <v>12.036066068123896</v>
      </c>
      <c r="M11" s="24"/>
      <c r="Q11" s="13" t="s">
        <v>62</v>
      </c>
      <c r="U11" s="2" t="s">
        <v>47</v>
      </c>
      <c r="V11" s="23">
        <f>SUMPRODUCT(AD4:AD8,AE4:AE8)</f>
        <v>19.935772009291519</v>
      </c>
      <c r="W11" s="24"/>
      <c r="AA11" s="13" t="s">
        <v>62</v>
      </c>
      <c r="AI11" t="s">
        <v>42</v>
      </c>
      <c r="AJ11">
        <f>AJ10*$AJ$16</f>
        <v>111.19499999999999</v>
      </c>
      <c r="AK11" s="5">
        <f>AK10*$AJ$14</f>
        <v>199.3577200929152</v>
      </c>
      <c r="AL11" s="5">
        <f>AL10*$AJ$15</f>
        <v>99.678860046457601</v>
      </c>
    </row>
    <row r="12" spans="1:38" ht="15" thickBot="1" x14ac:dyDescent="0.35">
      <c r="A12" s="2" t="s">
        <v>63</v>
      </c>
      <c r="B12" s="24">
        <f>B11*120</f>
        <v>701.80597920997923</v>
      </c>
      <c r="C12" s="24"/>
      <c r="G12" s="5">
        <f>SUMPRODUCT(G4:G8,I4:I8)</f>
        <v>73.417000000000002</v>
      </c>
      <c r="K12" s="2" t="s">
        <v>63</v>
      </c>
      <c r="L12" s="24">
        <f>L11*120</f>
        <v>1444.3279281748676</v>
      </c>
      <c r="M12" s="24"/>
      <c r="Q12" s="5">
        <f>SUMPRODUCT(Q4:Q8,S4:S8)</f>
        <v>155.5335</v>
      </c>
      <c r="U12" s="2" t="s">
        <v>63</v>
      </c>
      <c r="V12" s="24">
        <f>V11*120</f>
        <v>2392.2926411149824</v>
      </c>
      <c r="W12" s="24"/>
      <c r="AA12" s="5">
        <f>SUMPRODUCT(AA4:AA8,AE4:AE8)</f>
        <v>269.84449999999998</v>
      </c>
      <c r="AI12" t="s">
        <v>43</v>
      </c>
      <c r="AJ12" s="6" t="s">
        <v>44</v>
      </c>
      <c r="AK12" s="9">
        <f>((AK11-$AJ$11)/$AJ$11)</f>
        <v>0.79286586710657148</v>
      </c>
      <c r="AL12" s="9">
        <f>((AL11-$AJ$11)/$AJ$11)</f>
        <v>-0.10356706644671428</v>
      </c>
    </row>
    <row r="13" spans="1:38" x14ac:dyDescent="0.3">
      <c r="V13" s="22" t="s">
        <v>48</v>
      </c>
      <c r="W13" s="22"/>
    </row>
    <row r="14" spans="1:38" x14ac:dyDescent="0.3">
      <c r="AI14" t="s">
        <v>49</v>
      </c>
      <c r="AJ14">
        <v>10</v>
      </c>
      <c r="AK14" t="s">
        <v>50</v>
      </c>
    </row>
    <row r="15" spans="1:38" x14ac:dyDescent="0.3">
      <c r="A15" s="22" t="s">
        <v>32</v>
      </c>
      <c r="B15" s="22"/>
      <c r="C15" s="21"/>
      <c r="D15" s="21"/>
      <c r="AI15" t="s">
        <v>61</v>
      </c>
      <c r="AJ15">
        <v>5</v>
      </c>
      <c r="AK15" t="s">
        <v>50</v>
      </c>
    </row>
    <row r="16" spans="1:38" x14ac:dyDescent="0.3">
      <c r="AI16" t="s">
        <v>51</v>
      </c>
      <c r="AJ16">
        <v>1.75</v>
      </c>
      <c r="AK16" t="s">
        <v>52</v>
      </c>
    </row>
    <row r="17" spans="1:36" ht="15" thickBot="1" x14ac:dyDescent="0.35"/>
    <row r="18" spans="1:36" ht="15" thickBot="1" x14ac:dyDescent="0.35">
      <c r="A18" s="2" t="s">
        <v>58</v>
      </c>
      <c r="B18" s="20">
        <f>AVERAGE(F5:F8,P5:P8,Z5:Z8)</f>
        <v>79.714522560315046</v>
      </c>
      <c r="C18" t="s">
        <v>55</v>
      </c>
      <c r="J18" s="11"/>
      <c r="U18" s="21"/>
      <c r="V18" s="21"/>
      <c r="W18" s="5"/>
      <c r="AI18" s="7" t="s">
        <v>53</v>
      </c>
      <c r="AJ18" t="s">
        <v>54</v>
      </c>
    </row>
    <row r="19" spans="1:36" x14ac:dyDescent="0.3">
      <c r="A19" s="21" t="s">
        <v>59</v>
      </c>
      <c r="B19" s="21"/>
      <c r="M19" s="5"/>
      <c r="U19" s="21"/>
      <c r="V19" s="21"/>
      <c r="W19" s="5"/>
    </row>
    <row r="20" spans="1:36" x14ac:dyDescent="0.3">
      <c r="C20" s="5"/>
      <c r="K20" s="6"/>
      <c r="L20" s="6"/>
      <c r="M20" s="5"/>
    </row>
    <row r="21" spans="1:36" x14ac:dyDescent="0.3">
      <c r="A21" s="8"/>
      <c r="K21" s="8"/>
      <c r="U21" s="8"/>
    </row>
  </sheetData>
  <mergeCells count="15">
    <mergeCell ref="V10:W10"/>
    <mergeCell ref="V11:W11"/>
    <mergeCell ref="V12:W12"/>
    <mergeCell ref="V13:W13"/>
    <mergeCell ref="L11:M11"/>
    <mergeCell ref="B10:C10"/>
    <mergeCell ref="B11:C11"/>
    <mergeCell ref="L12:M12"/>
    <mergeCell ref="B12:C12"/>
    <mergeCell ref="L10:M10"/>
    <mergeCell ref="U18:V18"/>
    <mergeCell ref="A19:B19"/>
    <mergeCell ref="U19:V19"/>
    <mergeCell ref="A15:B15"/>
    <mergeCell ref="C15:D15"/>
  </mergeCells>
  <conditionalFormatting sqref="AC4:AC8">
    <cfRule type="cellIs" dxfId="1" priority="1" operator="greaterThan">
      <formula>1</formula>
    </cfRule>
    <cfRule type="cellIs" dxfId="0" priority="2" operator="greaterThan">
      <formula>100</formula>
    </cfRule>
  </conditionalFormatting>
  <pageMargins left="0.7" right="0.7" top="0.75" bottom="0.75" header="0.3" footer="0.3"/>
  <pageSetup orientation="portrait" r:id="rId1"/>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3419968-9252-4cb6-875d-67e1a0345c49">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1815A83EF591474792D0F291FAC4FFFF" ma:contentTypeVersion="9" ma:contentTypeDescription="Creare un nuovo documento." ma:contentTypeScope="" ma:versionID="c5204223b2221556111d9b0ca4b784d7">
  <xsd:schema xmlns:xsd="http://www.w3.org/2001/XMLSchema" xmlns:xs="http://www.w3.org/2001/XMLSchema" xmlns:p="http://schemas.microsoft.com/office/2006/metadata/properties" xmlns:ns2="b3419968-9252-4cb6-875d-67e1a0345c49" targetNamespace="http://schemas.microsoft.com/office/2006/metadata/properties" ma:root="true" ma:fieldsID="2fb849d65fce127848fba102501d96fc" ns2:_="">
    <xsd:import namespace="b3419968-9252-4cb6-875d-67e1a0345c4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419968-9252-4cb6-875d-67e1a0345c4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Tag immagine" ma:readOnly="false" ma:fieldId="{5cf76f15-5ced-4ddc-b409-7134ff3c332f}" ma:taxonomyMulti="true" ma:sspId="feb7de8c-6efd-4c1c-a4e4-2fcdfb11897d"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B041A73-6E3A-4EAC-925B-E02B462ED565}">
  <ds:schemaRefs>
    <ds:schemaRef ds:uri="http://schemas.microsoft.com/office/2006/metadata/properties"/>
    <ds:schemaRef ds:uri="http://schemas.microsoft.com/office/infopath/2007/PartnerControls"/>
    <ds:schemaRef ds:uri="b3419968-9252-4cb6-875d-67e1a0345c49"/>
  </ds:schemaRefs>
</ds:datastoreItem>
</file>

<file path=customXml/itemProps2.xml><?xml version="1.0" encoding="utf-8"?>
<ds:datastoreItem xmlns:ds="http://schemas.openxmlformats.org/officeDocument/2006/customXml" ds:itemID="{7F52B02B-61CC-4A70-B4B5-1E4EC63DA2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3419968-9252-4cb6-875d-67e1a0345c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896660F-C20F-4C4C-A94C-1EA83CB5FD2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DIESEL BASELINE.</vt:lpstr>
      <vt:lpstr>H2.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ROCCO BERETTI</dc:creator>
  <cp:keywords/>
  <dc:description/>
  <cp:lastModifiedBy>ROCCO BERETTI</cp:lastModifiedBy>
  <cp:revision/>
  <dcterms:created xsi:type="dcterms:W3CDTF">2026-01-23T13:52:32Z</dcterms:created>
  <dcterms:modified xsi:type="dcterms:W3CDTF">2026-03-18T18:14:03Z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0x0101001815A83EF591474792D0F291FAC4FFFF</vt:lpwstr>
  </property>
</Properties>
</file>