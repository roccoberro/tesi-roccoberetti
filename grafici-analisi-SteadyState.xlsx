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urizio.beretti\Desktop\tirocinio\PROF\"/>
    </mc:Choice>
  </mc:AlternateContent>
  <xr:revisionPtr revIDLastSave="0" documentId="8_{DE436A53-9478-4EF1-9251-50E3BDB458D3}" xr6:coauthVersionLast="47" xr6:coauthVersionMax="47" xr10:uidLastSave="{00000000-0000-0000-0000-000000000000}"/>
  <bookViews>
    <workbookView xWindow="3348" yWindow="3348" windowWidth="17280" windowHeight="8880" xr2:uid="{A9D1FD6E-853B-43D1-901A-5C8C741AA690}"/>
  </bookViews>
  <sheets>
    <sheet name="grafi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</calcChain>
</file>

<file path=xl/sharedStrings.xml><?xml version="1.0" encoding="utf-8"?>
<sst xmlns="http://schemas.openxmlformats.org/spreadsheetml/2006/main" count="22" uniqueCount="18">
  <si>
    <t>Mining (C)</t>
  </si>
  <si>
    <t>C</t>
  </si>
  <si>
    <t>Rural (B)</t>
  </si>
  <si>
    <t>B</t>
  </si>
  <si>
    <t>Urban (A)</t>
  </si>
  <si>
    <t>A</t>
  </si>
  <si>
    <t xml:space="preserve"> A</t>
  </si>
  <si>
    <t>H2 Target (6 €/kg)</t>
  </si>
  <si>
    <t>H2 Oggi (10 €/kg)</t>
  </si>
  <si>
    <t>Diesel (1.5 €/L)</t>
  </si>
  <si>
    <t>Ciclo</t>
  </si>
  <si>
    <t>portata oraria idrogeno</t>
  </si>
  <si>
    <t>portata oraria diesel</t>
  </si>
  <si>
    <t>Energia H2 [MJ/h]</t>
  </si>
  <si>
    <t>Energia Diesel [MJ/h]</t>
  </si>
  <si>
    <t>delta</t>
  </si>
  <si>
    <t>η  H2-PFI</t>
  </si>
  <si>
    <t>η 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</si>
</sst>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10" fontId="0" fillId="0" borderId="2" xfId="0" applyNumberForma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 sz="1600" b="1">
                <a:latin typeface="Garamond" panose="02020404030301010803" pitchFamily="18" charset="0"/>
              </a:rPr>
              <a:t>confronto efficienza globale per ciclo</a:t>
            </a:r>
          </a:p>
        </c:rich>
      </c:tx>
      <c:layout>
        <c:manualLayout>
          <c:xMode val="edge"/>
          <c:yMode val="edge"/>
          <c:x val="0.1606596675415573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grafici!$B$1</c:f>
              <c:strCache>
                <c:ptCount val="1"/>
                <c:pt idx="0">
                  <c:v>η  Diesel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grafici!$A$2:$A$4</c:f>
              <c:strCache>
                <c:ptCount val="3"/>
                <c:pt idx="0">
                  <c:v> 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grafici!$B$2:$B$4</c:f>
              <c:numCache>
                <c:formatCode>0.00%</c:formatCode>
                <c:ptCount val="3"/>
                <c:pt idx="0">
                  <c:v>0.37709999999999999</c:v>
                </c:pt>
                <c:pt idx="1">
                  <c:v>0.41139999999999999</c:v>
                </c:pt>
                <c:pt idx="2">
                  <c:v>0.43080000000000002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6-480B-A021-9B2D72CECFFA}"/>
            </c:ext>
          </c:extLst>
        </c:ser>
        <c:ser>
          <c:idx val="1"/>
          <c:order val="1"/>
          <c:tx>
            <c:strRef>
              <c:f>grafici!$C$1</c:f>
              <c:strCache>
                <c:ptCount val="1"/>
                <c:pt idx="0">
                  <c:v>η  H2-PFI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grafici!$A$2:$A$4</c:f>
              <c:strCache>
                <c:ptCount val="3"/>
                <c:pt idx="0">
                  <c:v> 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grafici!$C$2:$C$4</c:f>
              <c:numCache>
                <c:formatCode>0.00%</c:formatCode>
                <c:ptCount val="3"/>
                <c:pt idx="0">
                  <c:v>0.37659999999999999</c:v>
                </c:pt>
                <c:pt idx="1">
                  <c:v>0.38769999999999999</c:v>
                </c:pt>
                <c:pt idx="2">
                  <c:v>0.36659999999999998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6-480B-A021-9B2D72CE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938896560"/>
        <c:axId val="1938890800"/>
      </c:barChart>
      <c:catAx>
        <c:axId val="19388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8890800"/>
        <c:crosses val="autoZero"/>
        <c:auto val="1"/>
        <c:lblAlgn val="ctr"/>
        <c:lblOffset val="100"/>
        <c:noMultiLvlLbl val="0"/>
      </c:catAx>
      <c:valAx>
        <c:axId val="19388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88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grafici!$R$2</c:f>
              <c:strCache>
                <c:ptCount val="1"/>
                <c:pt idx="0">
                  <c:v>Urban (A)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grafici!$S$1:$U$1</c:f>
              <c:strCache>
                <c:ptCount val="3"/>
                <c:pt idx="0">
                  <c:v>Diesel (1.5 €/L)</c:v>
                </c:pt>
                <c:pt idx="1">
                  <c:v>H2 Oggi (10 €/kg)</c:v>
                </c:pt>
                <c:pt idx="2">
                  <c:v>H2 Target (6 €/kg)</c:v>
                </c:pt>
              </c:strCache>
            </c:strRef>
          </c:cat>
          <c:val>
            <c:numRef>
              <c:f>grafici!$S$2:$U$2</c:f>
              <c:numCache>
                <c:formatCode>[$€-2]\ #,##0.00;[Red]\-[$€-2]\ #,##0.00</c:formatCode>
                <c:ptCount val="3"/>
                <c:pt idx="0">
                  <c:v>28.44</c:v>
                </c:pt>
                <c:pt idx="1">
                  <c:v>50.6</c:v>
                </c:pt>
                <c:pt idx="2">
                  <c:v>30.36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3-45AA-BA09-A3E78A9C543E}"/>
            </c:ext>
          </c:extLst>
        </c:ser>
        <c:ser>
          <c:idx val="1"/>
          <c:order val="1"/>
          <c:tx>
            <c:strRef>
              <c:f>grafici!$R$3</c:f>
              <c:strCache>
                <c:ptCount val="1"/>
                <c:pt idx="0">
                  <c:v>Rural (B)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grafici!$S$1:$U$1</c:f>
              <c:strCache>
                <c:ptCount val="3"/>
                <c:pt idx="0">
                  <c:v>Diesel (1.5 €/L)</c:v>
                </c:pt>
                <c:pt idx="1">
                  <c:v>H2 Oggi (10 €/kg)</c:v>
                </c:pt>
                <c:pt idx="2">
                  <c:v>H2 Target (6 €/kg)</c:v>
                </c:pt>
              </c:strCache>
            </c:strRef>
          </c:cat>
          <c:val>
            <c:numRef>
              <c:f>grafici!$S$3:$U$3</c:f>
              <c:numCache>
                <c:formatCode>[$€-2]\ #,##0.00;[Red]\-[$€-2]\ #,##0.00</c:formatCode>
                <c:ptCount val="3"/>
                <c:pt idx="0">
                  <c:v>55.215000000000003</c:v>
                </c:pt>
                <c:pt idx="1">
                  <c:v>99.5</c:v>
                </c:pt>
                <c:pt idx="2">
                  <c:v>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3-45AA-BA09-A3E78A9C543E}"/>
            </c:ext>
          </c:extLst>
        </c:ser>
        <c:ser>
          <c:idx val="2"/>
          <c:order val="2"/>
          <c:tx>
            <c:strRef>
              <c:f>grafici!$R$4</c:f>
              <c:strCache>
                <c:ptCount val="1"/>
                <c:pt idx="0">
                  <c:v>Mining (C)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grafici!$S$1:$U$1</c:f>
              <c:strCache>
                <c:ptCount val="3"/>
                <c:pt idx="0">
                  <c:v>Diesel (1.5 €/L)</c:v>
                </c:pt>
                <c:pt idx="1">
                  <c:v>H2 Oggi (10 €/kg)</c:v>
                </c:pt>
                <c:pt idx="2">
                  <c:v>H2 Target (6 €/kg)</c:v>
                </c:pt>
              </c:strCache>
            </c:strRef>
          </c:cat>
          <c:val>
            <c:numRef>
              <c:f>grafici!$S$4:$U$4</c:f>
              <c:numCache>
                <c:formatCode>[$€-2]\ #,##0.00;[Red]\-[$€-2]\ #,##0.00</c:formatCode>
                <c:ptCount val="3"/>
                <c:pt idx="0">
                  <c:v>91.484999999999999</c:v>
                </c:pt>
                <c:pt idx="1">
                  <c:v>164.1</c:v>
                </c:pt>
                <c:pt idx="2">
                  <c:v>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3-45AA-BA09-A3E78A9C5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796960"/>
        <c:axId val="1174790240"/>
      </c:barChart>
      <c:catAx>
        <c:axId val="117479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90240"/>
        <c:crosses val="autoZero"/>
        <c:auto val="1"/>
        <c:lblAlgn val="ctr"/>
        <c:lblOffset val="100"/>
        <c:noMultiLvlLbl val="0"/>
      </c:catAx>
      <c:valAx>
        <c:axId val="117479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.00;[Red]\-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9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grafici!$L$1</c:f>
              <c:strCache>
                <c:ptCount val="1"/>
                <c:pt idx="0">
                  <c:v>Energia Diesel [MJ/h]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grafici!$K$2:$K$4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grafici!$L$2:$L$4</c:f>
              <c:numCache>
                <c:formatCode>General</c:formatCode>
                <c:ptCount val="3"/>
                <c:pt idx="0">
                  <c:v>672.76</c:v>
                </c:pt>
                <c:pt idx="1">
                  <c:v>1306.1600000000001</c:v>
                </c:pt>
                <c:pt idx="2">
                  <c:v>2164.35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1-438E-B5BF-953079FAD2FC}"/>
            </c:ext>
          </c:extLst>
        </c:ser>
        <c:ser>
          <c:idx val="1"/>
          <c:order val="1"/>
          <c:tx>
            <c:strRef>
              <c:f>grafici!$M$1</c:f>
              <c:strCache>
                <c:ptCount val="1"/>
                <c:pt idx="0">
                  <c:v>Energia H2 [MJ/h]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grafici!$K$2:$K$4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grafici!$M$2:$M$4</c:f>
              <c:numCache>
                <c:formatCode>General</c:formatCode>
                <c:ptCount val="3"/>
                <c:pt idx="0">
                  <c:v>673.56</c:v>
                </c:pt>
                <c:pt idx="1">
                  <c:v>1386.27</c:v>
                </c:pt>
                <c:pt idx="2">
                  <c:v>2276.94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1-438E-B5BF-953079FAD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787360"/>
        <c:axId val="1174787840"/>
      </c:barChart>
      <c:catAx>
        <c:axId val="11747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87840"/>
        <c:crosses val="autoZero"/>
        <c:auto val="1"/>
        <c:lblAlgn val="ctr"/>
        <c:lblOffset val="100"/>
        <c:noMultiLvlLbl val="0"/>
      </c:catAx>
      <c:valAx>
        <c:axId val="11747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5</xdr:row>
      <xdr:rowOff>163830</xdr:rowOff>
    </xdr:from>
    <xdr:to>
      <xdr:col>7</xdr:col>
      <xdr:colOff>594360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8F7BB-B429-4867-8E2C-293DD70E3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419100</xdr:colOff>
      <xdr:row>5</xdr:row>
      <xdr:rowOff>148590</xdr:rowOff>
    </xdr:from>
    <xdr:to>
      <xdr:col>22</xdr:col>
      <xdr:colOff>396240</xdr:colOff>
      <xdr:row>20</xdr:row>
      <xdr:rowOff>148590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ACFD361-F2A8-4C54-93D3-84432A27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605117</xdr:colOff>
      <xdr:row>6</xdr:row>
      <xdr:rowOff>23532</xdr:rowOff>
    </xdr:from>
    <xdr:to>
      <xdr:col>14</xdr:col>
      <xdr:colOff>605117</xdr:colOff>
      <xdr:row>21</xdr:row>
      <xdr:rowOff>77321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57CB8E2-B4CA-41CA-A955-2EFA2A734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156754</xdr:colOff>
      <xdr:row>16</xdr:row>
      <xdr:rowOff>34833</xdr:rowOff>
    </xdr:from>
    <xdr:to>
      <xdr:col>21</xdr:col>
      <xdr:colOff>21771</xdr:colOff>
      <xdr:row>16</xdr:row>
      <xdr:rowOff>39188</xdr:rowOff>
    </xdr:to>
    <xdr:cxnSp macro="">
      <xdr:nvCxnSpPr>
        <xdr:cNvPr id="5" name="Straight Connector 5">
          <a:extLst>
            <a:ext uri="{FF2B5EF4-FFF2-40B4-BE49-F238E27FC236}">
              <a16:creationId xmlns:a16="http://schemas.microsoft.com/office/drawing/2014/main" id="{999F64CE-3646-4C38-BFA9-C6513F59CAC0}"/>
            </a:ext>
          </a:extLst>
        </xdr:cNvPr>
        <xdr:cNvCxnSpPr/>
      </xdr:nvCxnSpPr>
      <xdr:spPr>
        <a:xfrm>
          <a:off x="9910354" y="2960913"/>
          <a:ext cx="2913017" cy="435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156754</xdr:colOff>
      <xdr:row>14</xdr:row>
      <xdr:rowOff>148044</xdr:rowOff>
    </xdr:from>
    <xdr:to>
      <xdr:col>21</xdr:col>
      <xdr:colOff>322217</xdr:colOff>
      <xdr:row>14</xdr:row>
      <xdr:rowOff>148046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042B725C-8076-48E6-96C5-3A528ED15E4F}"/>
            </a:ext>
          </a:extLst>
        </xdr:cNvPr>
        <xdr:cNvCxnSpPr/>
      </xdr:nvCxnSpPr>
      <xdr:spPr>
        <a:xfrm>
          <a:off x="9910354" y="2708364"/>
          <a:ext cx="3213463" cy="2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12</xdr:row>
      <xdr:rowOff>152400</xdr:rowOff>
    </xdr:from>
    <xdr:to>
      <xdr:col>22</xdr:col>
      <xdr:colOff>17417</xdr:colOff>
      <xdr:row>12</xdr:row>
      <xdr:rowOff>174170</xdr:rowOff>
    </xdr:to>
    <xdr:cxnSp macro="">
      <xdr:nvCxnSpPr>
        <xdr:cNvPr id="7" name="Straight Connector 7">
          <a:extLst>
            <a:ext uri="{FF2B5EF4-FFF2-40B4-BE49-F238E27FC236}">
              <a16:creationId xmlns:a16="http://schemas.microsoft.com/office/drawing/2014/main" id="{A34BB627-3124-4556-8BC5-99DA6878F4A6}"/>
            </a:ext>
          </a:extLst>
        </xdr:cNvPr>
        <xdr:cNvCxnSpPr/>
      </xdr:nvCxnSpPr>
      <xdr:spPr>
        <a:xfrm flipV="1">
          <a:off x="9906000" y="2346960"/>
          <a:ext cx="3522617" cy="2177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E673-792B-4A54-84F2-1B23BA626E6D}">
  <dimension ref="A1:U4"/>
  <sheetViews>
    <sheetView tabSelected="1" zoomScale="92" zoomScaleNormal="85" workbookViewId="0">
      <selection activeCell="C5" sqref="C5"/>
    </sheetView>
  </sheetViews>
  <sheetFormatPr defaultRowHeight="14.4" x14ac:dyDescent="0.3"/>
  <cols>
    <col min="12" max="13" width="15.6640625" customWidth="1"/>
    <col min="20" max="20" width="13.6640625" customWidth="1"/>
  </cols>
  <sheetData>
    <row r="1" spans="1:21" ht="55.8" thickBot="1" x14ac:dyDescent="0.35">
      <c r="A1" s="10" t="s">
        <v>10</v>
      </c>
      <c r="B1" s="10" t="s">
        <v>17</v>
      </c>
      <c r="C1" s="10" t="s">
        <v>16</v>
      </c>
      <c r="D1" s="10" t="s">
        <v>15</v>
      </c>
      <c r="K1" s="10" t="s">
        <v>10</v>
      </c>
      <c r="L1" s="10" t="s">
        <v>14</v>
      </c>
      <c r="M1" s="10" t="s">
        <v>13</v>
      </c>
      <c r="N1" s="10" t="s">
        <v>12</v>
      </c>
      <c r="O1" s="10" t="s">
        <v>11</v>
      </c>
      <c r="R1" s="9" t="s">
        <v>10</v>
      </c>
      <c r="S1" s="9" t="s">
        <v>9</v>
      </c>
      <c r="T1" s="9" t="s">
        <v>8</v>
      </c>
      <c r="U1" s="9" t="s">
        <v>7</v>
      </c>
    </row>
    <row r="2" spans="1:21" ht="28.2" thickBot="1" x14ac:dyDescent="0.35">
      <c r="A2" s="8" t="s">
        <v>6</v>
      </c>
      <c r="B2" s="7">
        <v>0.37709999999999999</v>
      </c>
      <c r="C2" s="7">
        <v>0.37659999999999999</v>
      </c>
      <c r="D2" s="6">
        <f>B2-C2</f>
        <v>5.0000000000000044E-4</v>
      </c>
      <c r="K2" s="5" t="s">
        <v>5</v>
      </c>
      <c r="L2" s="4">
        <v>672.76</v>
      </c>
      <c r="M2" s="4">
        <v>673.56</v>
      </c>
      <c r="N2" s="3">
        <v>18.600000000000001</v>
      </c>
      <c r="O2" s="3">
        <v>5.6</v>
      </c>
      <c r="R2" s="2" t="s">
        <v>4</v>
      </c>
      <c r="S2" s="1">
        <v>28.44</v>
      </c>
      <c r="T2" s="1">
        <v>50.6</v>
      </c>
      <c r="U2" s="1">
        <v>30.36</v>
      </c>
    </row>
    <row r="3" spans="1:21" ht="28.2" thickBot="1" x14ac:dyDescent="0.35">
      <c r="A3" s="8" t="s">
        <v>3</v>
      </c>
      <c r="B3" s="7">
        <v>0.41139999999999999</v>
      </c>
      <c r="C3" s="7">
        <v>0.38769999999999999</v>
      </c>
      <c r="D3" s="6">
        <f>B3-C3</f>
        <v>2.3699999999999999E-2</v>
      </c>
      <c r="K3" s="5" t="s">
        <v>3</v>
      </c>
      <c r="L3" s="4">
        <v>1306.1600000000001</v>
      </c>
      <c r="M3" s="4">
        <v>1386.27</v>
      </c>
      <c r="N3" s="3">
        <v>36.200000000000003</v>
      </c>
      <c r="O3" s="3">
        <v>11.6</v>
      </c>
      <c r="R3" s="2" t="s">
        <v>2</v>
      </c>
      <c r="S3" s="1">
        <v>55.215000000000003</v>
      </c>
      <c r="T3" s="1">
        <v>99.5</v>
      </c>
      <c r="U3" s="1">
        <v>59.7</v>
      </c>
    </row>
    <row r="4" spans="1:21" ht="28.2" thickBot="1" x14ac:dyDescent="0.35">
      <c r="A4" s="8" t="s">
        <v>1</v>
      </c>
      <c r="B4" s="7">
        <v>0.43080000000000002</v>
      </c>
      <c r="C4" s="7">
        <v>0.36659999999999998</v>
      </c>
      <c r="D4" s="6">
        <f>B4-C4</f>
        <v>6.4200000000000035E-2</v>
      </c>
      <c r="K4" s="5" t="s">
        <v>1</v>
      </c>
      <c r="L4" s="4">
        <v>2164.35</v>
      </c>
      <c r="M4" s="4">
        <v>2276.94</v>
      </c>
      <c r="N4" s="3">
        <v>59.9</v>
      </c>
      <c r="O4" s="3">
        <v>19</v>
      </c>
      <c r="R4" s="2" t="s">
        <v>0</v>
      </c>
      <c r="S4" s="1">
        <v>91.484999999999999</v>
      </c>
      <c r="T4" s="1">
        <v>164.1</v>
      </c>
      <c r="U4" s="1">
        <v>98.4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grafici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BERETTI</dc:creator>
  <cp:lastModifiedBy>ROCCO BERETTI</cp:lastModifiedBy>
  <dcterms:created xsi:type="dcterms:W3CDTF">2026-03-18T17:56:44Z</dcterms:created>
  <dcterms:modified xsi:type="dcterms:W3CDTF">2026-03-18T17:57:28Z</dcterms:modified>
</cp:coreProperties>
</file>